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anda\Downloads\"/>
    </mc:Choice>
  </mc:AlternateContent>
  <xr:revisionPtr revIDLastSave="0" documentId="13_ncr:1_{8857E851-7A7A-42DD-BAA0-DCCBE5EC3958}" xr6:coauthVersionLast="47" xr6:coauthVersionMax="47" xr10:uidLastSave="{00000000-0000-0000-0000-000000000000}"/>
  <bookViews>
    <workbookView xWindow="-108" yWindow="-108" windowWidth="23256" windowHeight="13176" activeTab="4" xr2:uid="{00000000-000D-0000-FFFF-FFFF00000000}"/>
  </bookViews>
  <sheets>
    <sheet name="original_dataset" sheetId="1" r:id="rId1"/>
    <sheet name="outliers" sheetId="3" r:id="rId2"/>
    <sheet name="mean_analysis" sheetId="4" r:id="rId3"/>
    <sheet name="anova" sheetId="5" r:id="rId4"/>
    <sheet name="t-test" sheetId="7"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4" i="5" l="1"/>
  <c r="L3" i="4" l="1"/>
  <c r="L2" i="4"/>
  <c r="K3" i="4"/>
  <c r="K2" i="4"/>
  <c r="J3" i="4"/>
  <c r="J2" i="4"/>
  <c r="K6" i="3"/>
  <c r="L6" i="3"/>
  <c r="J6" i="3"/>
  <c r="L5" i="3"/>
  <c r="K5" i="3"/>
  <c r="J5" i="3"/>
  <c r="L4" i="3"/>
  <c r="K4" i="3"/>
  <c r="J4" i="3"/>
  <c r="L3" i="3"/>
  <c r="K3" i="3"/>
  <c r="J3" i="3"/>
  <c r="L2" i="3"/>
  <c r="K2" i="3"/>
  <c r="J2" i="3"/>
</calcChain>
</file>

<file path=xl/sharedStrings.xml><?xml version="1.0" encoding="utf-8"?>
<sst xmlns="http://schemas.openxmlformats.org/spreadsheetml/2006/main" count="95" uniqueCount="42">
  <si>
    <t>Touchpad</t>
  </si>
  <si>
    <t>LeapM</t>
  </si>
  <si>
    <t>EyeGaze</t>
  </si>
  <si>
    <t>In an experiment, we are comparing three different modalities to understand which one is better. We have selected touchpad, leapmotion and eye gaze solution. We have collected data as it is showing. Report with statistical evidence which modality is better.</t>
  </si>
  <si>
    <t>mean</t>
  </si>
  <si>
    <t>std</t>
  </si>
  <si>
    <t>Q1</t>
  </si>
  <si>
    <t>outlier</t>
  </si>
  <si>
    <t>Q3</t>
  </si>
  <si>
    <t>Anova: Single Factor</t>
  </si>
  <si>
    <t>SUMMARY</t>
  </si>
  <si>
    <t>Groups</t>
  </si>
  <si>
    <t>Count</t>
  </si>
  <si>
    <t>Sum</t>
  </si>
  <si>
    <t>Average</t>
  </si>
  <si>
    <t>Variance</t>
  </si>
  <si>
    <t>ANOVA</t>
  </si>
  <si>
    <t>Source of Variation</t>
  </si>
  <si>
    <t>SS</t>
  </si>
  <si>
    <t>df</t>
  </si>
  <si>
    <t>MS</t>
  </si>
  <si>
    <t>F</t>
  </si>
  <si>
    <t>P-value</t>
  </si>
  <si>
    <t>F crit</t>
  </si>
  <si>
    <t>Between Groups</t>
  </si>
  <si>
    <t>Within Groups</t>
  </si>
  <si>
    <t>Total</t>
  </si>
  <si>
    <r>
      <t>Effect Size (η</t>
    </r>
    <r>
      <rPr>
        <vertAlign val="superscript"/>
        <sz val="11"/>
        <color theme="1"/>
        <rFont val="Calibri"/>
        <family val="2"/>
        <scheme val="minor"/>
      </rPr>
      <t>2</t>
    </r>
    <r>
      <rPr>
        <sz val="11"/>
        <color theme="1"/>
        <rFont val="Calibri"/>
        <family val="2"/>
        <scheme val="minor"/>
      </rPr>
      <t>)</t>
    </r>
  </si>
  <si>
    <t>Mean</t>
  </si>
  <si>
    <t>Observations</t>
  </si>
  <si>
    <t>Pooled Variance</t>
  </si>
  <si>
    <t>Hypothesized Mean Difference</t>
  </si>
  <si>
    <t>t Stat</t>
  </si>
  <si>
    <t>P(T&lt;=t) one-tail</t>
  </si>
  <si>
    <t>t Critical one-tail</t>
  </si>
  <si>
    <t>P(T&lt;=t) two-tail</t>
  </si>
  <si>
    <t>t Critical two-tail</t>
  </si>
  <si>
    <t>Conclusion</t>
  </si>
  <si>
    <t>t-Test: Two-Sample Assuming Equal Variances (LeapM vs EyeGaze)</t>
  </si>
  <si>
    <t>t-Test: Two-Sample Assuming Equal Variances (Touchpad vs EyeGaze)</t>
  </si>
  <si>
    <t>t-Test: Two-Sample Assuming Equal Variances (Touchpad vs LeapM)</t>
  </si>
  <si>
    <t>Although we have found touchpad took least time to complete the task (mean = 1469.3 ms, s.d = 300.09), we did statistical analyses to find any significant difference in terms of time taken by user to complete the task. A one-way ANOVA was conducted followed by couple of paired t-test to report the results. We found significant difference between three modalities with F(2,175) = 29.18, p &lt; 0.05, Effect Size (η²) = 0.25. Then we compared all three modalities using paired t-tests. We did not find any significant difference between touchpad and leapmotion (t = 0.055). However, there is a significant difference between touchpad and eyegaze (t = 5.93, p &lt; 0.05) and between leapmotion and eyegaze with t = -5.22, p &lt; 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</si>
</sst>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name val="Calibri"/>
      <family val="2"/>
      <scheme val="minor"/>
    </font>
    <font>
      <b/>
      <sz val="11"/>
      <color theme="1"/>
      <name val="Calibri"/>
      <family val="2"/>
      <scheme val="minor"/>
    </font>
    <font>
      <i/>
      <sz val="11"/>
      <color theme="1"/>
      <name val="Calibri"/>
      <family val="2"/>
      <scheme val="minor"/>
    </font>
    <font>
      <vertAlign val="superscript"/>
      <sz val="11"/>
      <color theme="1"/>
      <name val="Calibri"/>
      <family val="2"/>
      <scheme val="minor"/>
    </font>
  </fonts>
  <fills count="4">
    <fill>
      <patternFill patternType="none"/>
    </fill>
    <fill>
      <patternFill patternType="gray125"/>
    </fill>
    <fill>
      <patternFill patternType="solid">
        <fgColor rgb="FFFF0000"/>
        <bgColor indexed="64"/>
      </patternFill>
    </fill>
    <fill>
      <patternFill patternType="solid">
        <fgColor rgb="FFFFFF00"/>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2">
    <xf numFmtId="0" fontId="0" fillId="0" borderId="0" xfId="0"/>
    <xf numFmtId="0" fontId="0" fillId="0" borderId="0" xfId="0" applyAlignment="1">
      <alignment horizontal="center" vertical="top" wrapText="1"/>
    </xf>
    <xf numFmtId="0" fontId="1" fillId="0" borderId="0" xfId="0" applyFont="1"/>
    <xf numFmtId="0" fontId="0" fillId="0" borderId="0" xfId="0" applyAlignment="1">
      <alignment vertical="top" wrapText="1"/>
    </xf>
    <xf numFmtId="0" fontId="1" fillId="2" borderId="0" xfId="0" applyFont="1" applyFill="1"/>
    <xf numFmtId="0" fontId="2" fillId="0" borderId="0" xfId="0" applyFont="1" applyAlignment="1">
      <alignment horizontal="center" vertical="top" wrapText="1"/>
    </xf>
    <xf numFmtId="0" fontId="0" fillId="0" borderId="0" xfId="0" applyFill="1" applyBorder="1" applyAlignment="1"/>
    <xf numFmtId="0" fontId="0" fillId="0" borderId="1" xfId="0" applyFill="1" applyBorder="1" applyAlignment="1"/>
    <xf numFmtId="0" fontId="3" fillId="0" borderId="2" xfId="0" applyFont="1" applyFill="1" applyBorder="1" applyAlignment="1">
      <alignment horizontal="center"/>
    </xf>
    <xf numFmtId="0" fontId="0" fillId="3" borderId="0" xfId="0" applyFill="1" applyBorder="1" applyAlignment="1"/>
    <xf numFmtId="0" fontId="0" fillId="2" borderId="0" xfId="0" applyFill="1" applyBorder="1" applyAlignme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Analysis</a:t>
            </a:r>
            <a:r>
              <a:rPr lang="en-US" baseline="0"/>
              <a:t> of Mean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mean_analysis!$I$2</c:f>
              <c:strCache>
                <c:ptCount val="1"/>
                <c:pt idx="0">
                  <c:v>mean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plus"/>
            <c:errValType val="cust"/>
            <c:noEndCap val="0"/>
            <c:plus>
              <c:numRef>
                <c:f>mean_analysis!$J$3:$L$3</c:f>
                <c:numCache>
                  <c:formatCode>General</c:formatCode>
                  <c:ptCount val="3"/>
                  <c:pt idx="0">
                    <c:v>300.09295343568857</c:v>
                  </c:pt>
                  <c:pt idx="1">
                    <c:v>329.66682462713777</c:v>
                  </c:pt>
                  <c:pt idx="2">
                    <c:v>1577.4416844335201</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val>
            <c:numRef>
              <c:f>mean_analysis!$J$2:$L$2</c:f>
              <c:numCache>
                <c:formatCode>General</c:formatCode>
                <c:ptCount val="3"/>
                <c:pt idx="0">
                  <c:v>1469.5964912280701</c:v>
                </c:pt>
                <c:pt idx="1">
                  <c:v>1564.6964285714287</c:v>
                </c:pt>
                <c:pt idx="2">
                  <c:v>2687.1692307692306</c:v>
                </c:pt>
              </c:numCache>
            </c:numRef>
          </c:val>
          <c:extLst>
            <c:ext xmlns:c16="http://schemas.microsoft.com/office/drawing/2014/chart" uri="{C3380CC4-5D6E-409C-BE32-E72D297353CC}">
              <c16:uniqueId val="{00000000-5542-4BA8-A1BC-89D946274EB8}"/>
            </c:ext>
          </c:extLst>
        </c:ser>
        <c:dLbls>
          <c:dLblPos val="outEnd"/>
          <c:showLegendKey val="0"/>
          <c:showVal val="1"/>
          <c:showCatName val="0"/>
          <c:showSerName val="0"/>
          <c:showPercent val="0"/>
          <c:showBubbleSize val="0"/>
        </c:dLbls>
        <c:gapWidth val="219"/>
        <c:overlap val="-27"/>
        <c:axId val="507577424"/>
        <c:axId val="507576464"/>
      </c:barChart>
      <c:catAx>
        <c:axId val="507577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Categories (1:Touchpad, 2:LeapM, 3:EyeGaze)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0\)"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576464"/>
        <c:crosses val="autoZero"/>
        <c:auto val="1"/>
        <c:lblAlgn val="ctr"/>
        <c:lblOffset val="100"/>
        <c:noMultiLvlLbl val="0"/>
      </c:catAx>
      <c:valAx>
        <c:axId val="5075764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Mean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5774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533400</xdr:colOff>
      <xdr:row>6</xdr:row>
      <xdr:rowOff>83820</xdr:rowOff>
    </xdr:from>
    <xdr:to>
      <xdr:col>15</xdr:col>
      <xdr:colOff>228600</xdr:colOff>
      <xdr:row>21</xdr:row>
      <xdr:rowOff>83820</xdr:rowOff>
    </xdr:to>
    <xdr:graphicFrame macro="">
      <xdr:nvGraphicFramePr>
        <xdr:cNvPr id="3" name="Chart 2">
          <a:extLst>
            <a:ext uri="{FF2B5EF4-FFF2-40B4-BE49-F238E27FC236}">
              <a16:creationId xmlns:a16="http://schemas.microsoft.com/office/drawing/2014/main" id="{C14E8CCB-6EA5-B263-C6E2-59F2A02F1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0"/>
  <sheetViews>
    <sheetView workbookViewId="0">
      <selection activeCell="E35" sqref="E35"/>
    </sheetView>
  </sheetViews>
  <sheetFormatPr defaultRowHeight="14.4" x14ac:dyDescent="0.3"/>
  <cols>
    <col min="1" max="3" width="9.109375"/>
    <col min="8" max="8" width="16.109375" customWidth="1"/>
    <col min="12" max="12" width="15" customWidth="1"/>
  </cols>
  <sheetData>
    <row r="1" spans="1:17" x14ac:dyDescent="0.3">
      <c r="A1" t="s">
        <v>0</v>
      </c>
      <c r="B1" t="s">
        <v>1</v>
      </c>
      <c r="C1" t="s">
        <v>2</v>
      </c>
    </row>
    <row r="2" spans="1:17" ht="15" customHeight="1" x14ac:dyDescent="0.3">
      <c r="A2">
        <v>1266</v>
      </c>
      <c r="B2">
        <v>1844</v>
      </c>
      <c r="C2" s="2">
        <v>8391</v>
      </c>
      <c r="F2" s="5" t="s">
        <v>3</v>
      </c>
      <c r="G2" s="5"/>
      <c r="H2" s="5"/>
      <c r="I2" s="5"/>
      <c r="J2" s="5"/>
      <c r="K2" s="5"/>
      <c r="L2" s="3"/>
      <c r="M2" s="3"/>
      <c r="N2" s="3"/>
      <c r="O2" s="3"/>
      <c r="P2" s="3"/>
      <c r="Q2" s="3"/>
    </row>
    <row r="3" spans="1:17" x14ac:dyDescent="0.3">
      <c r="A3">
        <v>1219</v>
      </c>
      <c r="B3">
        <v>1796</v>
      </c>
      <c r="C3">
        <v>6828</v>
      </c>
      <c r="F3" s="5"/>
      <c r="G3" s="5"/>
      <c r="H3" s="5"/>
      <c r="I3" s="5"/>
      <c r="J3" s="5"/>
      <c r="K3" s="5"/>
      <c r="L3" s="3"/>
      <c r="M3" s="3"/>
      <c r="N3" s="3"/>
      <c r="O3" s="3"/>
      <c r="P3" s="3"/>
      <c r="Q3" s="3"/>
    </row>
    <row r="4" spans="1:17" x14ac:dyDescent="0.3">
      <c r="A4">
        <v>1203</v>
      </c>
      <c r="B4">
        <v>1781</v>
      </c>
      <c r="C4">
        <v>6625</v>
      </c>
      <c r="F4" s="5"/>
      <c r="G4" s="5"/>
      <c r="H4" s="5"/>
      <c r="I4" s="5"/>
      <c r="J4" s="5"/>
      <c r="K4" s="5"/>
      <c r="L4" s="3"/>
      <c r="M4" s="3"/>
      <c r="N4" s="3"/>
      <c r="O4" s="3"/>
      <c r="P4" s="3"/>
      <c r="Q4" s="3"/>
    </row>
    <row r="5" spans="1:17" x14ac:dyDescent="0.3">
      <c r="A5">
        <v>1203</v>
      </c>
      <c r="B5">
        <v>1766</v>
      </c>
      <c r="C5">
        <v>6234</v>
      </c>
      <c r="F5" s="5"/>
      <c r="G5" s="5"/>
      <c r="H5" s="5"/>
      <c r="I5" s="5"/>
      <c r="J5" s="5"/>
      <c r="K5" s="5"/>
      <c r="L5" s="3"/>
      <c r="M5" s="3"/>
      <c r="N5" s="3"/>
      <c r="O5" s="3"/>
      <c r="P5" s="3"/>
      <c r="Q5" s="3"/>
    </row>
    <row r="6" spans="1:17" x14ac:dyDescent="0.3">
      <c r="A6">
        <v>1125</v>
      </c>
      <c r="B6">
        <v>1765</v>
      </c>
      <c r="C6">
        <v>5953</v>
      </c>
      <c r="F6" s="3"/>
      <c r="G6" s="3"/>
      <c r="H6" s="3"/>
      <c r="I6" s="3"/>
      <c r="J6" s="3"/>
      <c r="K6" s="3"/>
      <c r="L6" s="3"/>
      <c r="M6" s="3"/>
      <c r="N6" s="3"/>
      <c r="O6" s="3"/>
      <c r="P6" s="3"/>
      <c r="Q6" s="3"/>
    </row>
    <row r="7" spans="1:17" x14ac:dyDescent="0.3">
      <c r="A7">
        <v>1110</v>
      </c>
      <c r="B7">
        <v>1750</v>
      </c>
      <c r="C7">
        <v>4937</v>
      </c>
      <c r="F7" s="3"/>
      <c r="G7" s="3"/>
      <c r="H7" s="3"/>
      <c r="I7" s="3"/>
      <c r="J7" s="3"/>
      <c r="K7" s="3"/>
      <c r="L7" s="3"/>
      <c r="M7" s="3"/>
      <c r="N7" s="3"/>
      <c r="O7" s="3"/>
      <c r="P7" s="3"/>
      <c r="Q7" s="3"/>
    </row>
    <row r="8" spans="1:17" x14ac:dyDescent="0.3">
      <c r="A8">
        <v>1094</v>
      </c>
      <c r="B8">
        <v>1735</v>
      </c>
      <c r="C8">
        <v>4922</v>
      </c>
      <c r="F8" s="3"/>
      <c r="G8" s="3"/>
      <c r="H8" s="3"/>
      <c r="I8" s="3"/>
      <c r="J8" s="3"/>
      <c r="K8" s="3"/>
      <c r="L8" s="3"/>
      <c r="M8" s="3"/>
      <c r="N8" s="3"/>
      <c r="O8" s="3"/>
      <c r="P8" s="3"/>
      <c r="Q8" s="3"/>
    </row>
    <row r="9" spans="1:17" x14ac:dyDescent="0.3">
      <c r="A9">
        <v>1078</v>
      </c>
      <c r="B9">
        <v>1719</v>
      </c>
      <c r="C9">
        <v>4172</v>
      </c>
      <c r="F9" s="3"/>
      <c r="G9" s="3"/>
      <c r="H9" s="3"/>
      <c r="I9" s="3"/>
      <c r="J9" s="3"/>
      <c r="K9" s="3"/>
      <c r="L9" s="3"/>
      <c r="M9" s="3"/>
      <c r="N9" s="3"/>
      <c r="O9" s="3"/>
      <c r="P9" s="3"/>
      <c r="Q9" s="3"/>
    </row>
    <row r="10" spans="1:17" x14ac:dyDescent="0.3">
      <c r="A10">
        <v>1078</v>
      </c>
      <c r="B10">
        <v>1719</v>
      </c>
      <c r="C10">
        <v>3938</v>
      </c>
      <c r="F10" s="3"/>
      <c r="G10" s="3"/>
      <c r="H10" s="3"/>
      <c r="I10" s="3"/>
      <c r="J10" s="3"/>
      <c r="K10" s="3"/>
      <c r="L10" s="3"/>
      <c r="M10" s="3"/>
      <c r="N10" s="3"/>
      <c r="O10" s="3"/>
      <c r="P10" s="3"/>
      <c r="Q10" s="3"/>
    </row>
    <row r="11" spans="1:17" x14ac:dyDescent="0.3">
      <c r="A11">
        <v>1078</v>
      </c>
      <c r="B11" s="2">
        <v>2594</v>
      </c>
      <c r="C11">
        <v>3906</v>
      </c>
      <c r="F11" s="3"/>
      <c r="G11" s="3"/>
      <c r="H11" s="3"/>
      <c r="I11" s="3"/>
      <c r="J11" s="3"/>
      <c r="K11" s="3"/>
      <c r="L11" s="3"/>
      <c r="M11" s="3"/>
      <c r="N11" s="3"/>
      <c r="O11" s="3"/>
      <c r="P11" s="3"/>
      <c r="Q11" s="3"/>
    </row>
    <row r="12" spans="1:17" x14ac:dyDescent="0.3">
      <c r="A12">
        <v>1000</v>
      </c>
      <c r="B12" s="2">
        <v>2516</v>
      </c>
      <c r="C12">
        <v>3875</v>
      </c>
      <c r="F12" s="3"/>
      <c r="G12" s="3"/>
      <c r="H12" s="3"/>
      <c r="I12" s="3"/>
      <c r="J12" s="3"/>
      <c r="K12" s="3"/>
      <c r="L12" s="3"/>
      <c r="M12" s="3"/>
      <c r="N12" s="3"/>
      <c r="O12" s="3"/>
      <c r="P12" s="3"/>
      <c r="Q12" s="3"/>
    </row>
    <row r="13" spans="1:17" x14ac:dyDescent="0.3">
      <c r="A13">
        <v>938</v>
      </c>
      <c r="B13">
        <v>2437</v>
      </c>
      <c r="C13" s="2">
        <v>15531</v>
      </c>
      <c r="F13" s="3"/>
      <c r="G13" s="3"/>
      <c r="H13" s="3"/>
      <c r="I13" s="3"/>
      <c r="J13" s="3"/>
      <c r="K13" s="3"/>
      <c r="L13" s="3"/>
      <c r="M13" s="3"/>
      <c r="N13" s="3"/>
      <c r="O13" s="3"/>
      <c r="P13" s="3"/>
      <c r="Q13" s="3"/>
    </row>
    <row r="14" spans="1:17" x14ac:dyDescent="0.3">
      <c r="A14">
        <v>2500</v>
      </c>
      <c r="B14">
        <v>2109</v>
      </c>
      <c r="C14" s="2">
        <v>14125</v>
      </c>
      <c r="F14" s="3"/>
      <c r="G14" s="3"/>
      <c r="H14" s="3"/>
      <c r="I14" s="3"/>
      <c r="J14" s="3"/>
      <c r="K14" s="3"/>
      <c r="L14" s="3"/>
      <c r="M14" s="3"/>
      <c r="N14" s="3"/>
      <c r="O14" s="3"/>
      <c r="P14" s="3"/>
      <c r="Q14" s="3"/>
    </row>
    <row r="15" spans="1:17" x14ac:dyDescent="0.3">
      <c r="A15">
        <v>2281</v>
      </c>
      <c r="B15">
        <v>2094</v>
      </c>
      <c r="C15" s="2">
        <v>11656</v>
      </c>
      <c r="F15" s="3"/>
      <c r="G15" s="3"/>
      <c r="H15" s="3"/>
      <c r="I15" s="3"/>
      <c r="J15" s="3"/>
      <c r="K15" s="3"/>
      <c r="L15" s="3"/>
      <c r="M15" s="3"/>
      <c r="N15" s="3"/>
      <c r="O15" s="3"/>
      <c r="P15" s="3"/>
      <c r="Q15" s="3"/>
    </row>
    <row r="16" spans="1:17" x14ac:dyDescent="0.3">
      <c r="A16">
        <v>1938</v>
      </c>
      <c r="B16">
        <v>2093</v>
      </c>
      <c r="C16" s="2">
        <v>11578</v>
      </c>
      <c r="F16" s="3"/>
      <c r="G16" s="3"/>
      <c r="H16" s="3"/>
      <c r="I16" s="3"/>
      <c r="J16" s="3"/>
      <c r="K16" s="3"/>
      <c r="L16" s="3"/>
      <c r="M16" s="3"/>
      <c r="N16" s="3"/>
      <c r="O16" s="3"/>
      <c r="P16" s="3"/>
      <c r="Q16" s="3"/>
    </row>
    <row r="17" spans="1:17" x14ac:dyDescent="0.3">
      <c r="A17">
        <v>1891</v>
      </c>
      <c r="B17">
        <v>1890</v>
      </c>
      <c r="C17">
        <v>3594</v>
      </c>
      <c r="F17" s="3"/>
      <c r="G17" s="3"/>
      <c r="H17" s="3"/>
      <c r="I17" s="3"/>
      <c r="J17" s="3"/>
      <c r="K17" s="3"/>
      <c r="L17" s="3"/>
      <c r="M17" s="3"/>
      <c r="N17" s="3"/>
      <c r="O17" s="3"/>
      <c r="P17" s="3"/>
      <c r="Q17" s="3"/>
    </row>
    <row r="18" spans="1:17" x14ac:dyDescent="0.3">
      <c r="A18">
        <v>1875</v>
      </c>
      <c r="B18" s="2">
        <v>4703</v>
      </c>
      <c r="C18">
        <v>3421</v>
      </c>
      <c r="F18" s="3"/>
      <c r="G18" s="3"/>
      <c r="H18" s="3"/>
      <c r="I18" s="3"/>
      <c r="J18" s="3"/>
      <c r="K18" s="3"/>
      <c r="L18" s="3"/>
      <c r="M18" s="3"/>
      <c r="N18" s="3"/>
      <c r="O18" s="3"/>
      <c r="P18" s="3"/>
      <c r="Q18" s="3"/>
    </row>
    <row r="19" spans="1:17" x14ac:dyDescent="0.3">
      <c r="A19">
        <v>1875</v>
      </c>
      <c r="B19" s="2">
        <v>3453</v>
      </c>
      <c r="C19">
        <v>3406</v>
      </c>
    </row>
    <row r="20" spans="1:17" x14ac:dyDescent="0.3">
      <c r="A20">
        <v>1859</v>
      </c>
      <c r="B20" s="2">
        <v>2937</v>
      </c>
      <c r="C20">
        <v>3391</v>
      </c>
    </row>
    <row r="21" spans="1:17" x14ac:dyDescent="0.3">
      <c r="A21">
        <v>1812</v>
      </c>
      <c r="B21">
        <v>1250</v>
      </c>
      <c r="C21">
        <v>3265</v>
      </c>
    </row>
    <row r="22" spans="1:17" x14ac:dyDescent="0.3">
      <c r="A22">
        <v>1797</v>
      </c>
      <c r="B22">
        <v>1234</v>
      </c>
      <c r="C22">
        <v>2844</v>
      </c>
    </row>
    <row r="23" spans="1:17" x14ac:dyDescent="0.3">
      <c r="A23">
        <v>1766</v>
      </c>
      <c r="B23">
        <v>1234</v>
      </c>
      <c r="C23">
        <v>2640</v>
      </c>
    </row>
    <row r="24" spans="1:17" x14ac:dyDescent="0.3">
      <c r="A24">
        <v>1359</v>
      </c>
      <c r="B24">
        <v>1234</v>
      </c>
      <c r="C24">
        <v>2578</v>
      </c>
    </row>
    <row r="25" spans="1:17" x14ac:dyDescent="0.3">
      <c r="A25">
        <v>1359</v>
      </c>
      <c r="B25">
        <v>1188</v>
      </c>
      <c r="C25">
        <v>3859</v>
      </c>
    </row>
    <row r="26" spans="1:17" x14ac:dyDescent="0.3">
      <c r="A26">
        <v>1344</v>
      </c>
      <c r="B26">
        <v>1141</v>
      </c>
      <c r="C26">
        <v>3797</v>
      </c>
    </row>
    <row r="27" spans="1:17" x14ac:dyDescent="0.3">
      <c r="A27">
        <v>1329</v>
      </c>
      <c r="B27">
        <v>1125</v>
      </c>
      <c r="C27">
        <v>3782</v>
      </c>
    </row>
    <row r="28" spans="1:17" x14ac:dyDescent="0.3">
      <c r="A28">
        <v>1313</v>
      </c>
      <c r="B28">
        <v>1110</v>
      </c>
      <c r="C28">
        <v>3735</v>
      </c>
    </row>
    <row r="29" spans="1:17" x14ac:dyDescent="0.3">
      <c r="A29">
        <v>1282</v>
      </c>
      <c r="B29">
        <v>1390</v>
      </c>
      <c r="C29">
        <v>3656</v>
      </c>
    </row>
    <row r="30" spans="1:17" x14ac:dyDescent="0.3">
      <c r="A30">
        <v>1281</v>
      </c>
      <c r="B30">
        <v>1375</v>
      </c>
      <c r="C30">
        <v>3640</v>
      </c>
    </row>
    <row r="31" spans="1:17" x14ac:dyDescent="0.3">
      <c r="A31">
        <v>1281</v>
      </c>
      <c r="B31">
        <v>1375</v>
      </c>
      <c r="C31">
        <v>1922</v>
      </c>
    </row>
    <row r="32" spans="1:17" x14ac:dyDescent="0.3">
      <c r="A32">
        <v>1281</v>
      </c>
      <c r="B32">
        <v>1375</v>
      </c>
      <c r="C32">
        <v>1921</v>
      </c>
    </row>
    <row r="33" spans="1:3" x14ac:dyDescent="0.3">
      <c r="A33">
        <v>1734</v>
      </c>
      <c r="B33">
        <v>1375</v>
      </c>
      <c r="C33">
        <v>1891</v>
      </c>
    </row>
    <row r="34" spans="1:3" x14ac:dyDescent="0.3">
      <c r="A34">
        <v>1719</v>
      </c>
      <c r="B34">
        <v>1375</v>
      </c>
      <c r="C34">
        <v>1875</v>
      </c>
    </row>
    <row r="35" spans="1:3" x14ac:dyDescent="0.3">
      <c r="A35">
        <v>1687</v>
      </c>
      <c r="B35">
        <v>1328</v>
      </c>
      <c r="C35">
        <v>1859</v>
      </c>
    </row>
    <row r="36" spans="1:3" x14ac:dyDescent="0.3">
      <c r="A36">
        <v>1609</v>
      </c>
      <c r="B36">
        <v>1328</v>
      </c>
      <c r="C36">
        <v>1829</v>
      </c>
    </row>
    <row r="37" spans="1:3" x14ac:dyDescent="0.3">
      <c r="A37">
        <v>1594</v>
      </c>
      <c r="B37">
        <v>1312</v>
      </c>
      <c r="C37">
        <v>2468</v>
      </c>
    </row>
    <row r="38" spans="1:3" x14ac:dyDescent="0.3">
      <c r="A38">
        <v>1594</v>
      </c>
      <c r="B38">
        <v>1265</v>
      </c>
      <c r="C38">
        <v>2172</v>
      </c>
    </row>
    <row r="39" spans="1:3" x14ac:dyDescent="0.3">
      <c r="A39">
        <v>1578</v>
      </c>
      <c r="B39">
        <v>1250</v>
      </c>
      <c r="C39">
        <v>2156</v>
      </c>
    </row>
    <row r="40" spans="1:3" x14ac:dyDescent="0.3">
      <c r="A40">
        <v>1547</v>
      </c>
      <c r="B40">
        <v>1672</v>
      </c>
      <c r="C40">
        <v>2140</v>
      </c>
    </row>
    <row r="41" spans="1:3" x14ac:dyDescent="0.3">
      <c r="A41">
        <v>1516</v>
      </c>
      <c r="B41">
        <v>1656</v>
      </c>
      <c r="C41">
        <v>2140</v>
      </c>
    </row>
    <row r="42" spans="1:3" x14ac:dyDescent="0.3">
      <c r="A42">
        <v>1500</v>
      </c>
      <c r="B42">
        <v>1625</v>
      </c>
      <c r="C42">
        <v>2125</v>
      </c>
    </row>
    <row r="43" spans="1:3" x14ac:dyDescent="0.3">
      <c r="A43">
        <v>1500</v>
      </c>
      <c r="B43">
        <v>1610</v>
      </c>
      <c r="C43">
        <v>2093</v>
      </c>
    </row>
    <row r="44" spans="1:3" x14ac:dyDescent="0.3">
      <c r="A44">
        <v>1500</v>
      </c>
      <c r="B44">
        <v>1609</v>
      </c>
      <c r="C44">
        <v>2078</v>
      </c>
    </row>
    <row r="45" spans="1:3" x14ac:dyDescent="0.3">
      <c r="A45">
        <v>1500</v>
      </c>
      <c r="B45">
        <v>1563</v>
      </c>
      <c r="C45">
        <v>2078</v>
      </c>
    </row>
    <row r="46" spans="1:3" x14ac:dyDescent="0.3">
      <c r="A46">
        <v>1468</v>
      </c>
      <c r="B46">
        <v>1516</v>
      </c>
      <c r="C46">
        <v>1719</v>
      </c>
    </row>
    <row r="47" spans="1:3" x14ac:dyDescent="0.3">
      <c r="A47">
        <v>1453</v>
      </c>
      <c r="B47">
        <v>1516</v>
      </c>
      <c r="C47">
        <v>1641</v>
      </c>
    </row>
    <row r="48" spans="1:3" x14ac:dyDescent="0.3">
      <c r="A48">
        <v>1453</v>
      </c>
      <c r="B48">
        <v>1516</v>
      </c>
      <c r="C48">
        <v>1640</v>
      </c>
    </row>
    <row r="49" spans="1:7" x14ac:dyDescent="0.3">
      <c r="A49">
        <v>1453</v>
      </c>
      <c r="B49">
        <v>1515</v>
      </c>
      <c r="C49">
        <v>1625</v>
      </c>
    </row>
    <row r="50" spans="1:7" x14ac:dyDescent="0.3">
      <c r="A50">
        <v>1422</v>
      </c>
      <c r="B50">
        <v>1500</v>
      </c>
      <c r="C50">
        <v>1609</v>
      </c>
    </row>
    <row r="51" spans="1:7" x14ac:dyDescent="0.3">
      <c r="A51">
        <v>1422</v>
      </c>
      <c r="B51">
        <v>1500</v>
      </c>
      <c r="C51">
        <v>1578</v>
      </c>
    </row>
    <row r="52" spans="1:7" x14ac:dyDescent="0.3">
      <c r="A52">
        <v>1406</v>
      </c>
      <c r="B52">
        <v>1484</v>
      </c>
      <c r="C52">
        <v>1563</v>
      </c>
    </row>
    <row r="53" spans="1:7" x14ac:dyDescent="0.3">
      <c r="A53">
        <v>1391</v>
      </c>
      <c r="B53">
        <v>1484</v>
      </c>
      <c r="C53">
        <v>1547</v>
      </c>
    </row>
    <row r="54" spans="1:7" x14ac:dyDescent="0.3">
      <c r="A54">
        <v>1391</v>
      </c>
      <c r="B54">
        <v>1468</v>
      </c>
      <c r="C54">
        <v>1547</v>
      </c>
    </row>
    <row r="55" spans="1:7" x14ac:dyDescent="0.3">
      <c r="A55">
        <v>1390</v>
      </c>
      <c r="B55">
        <v>1454</v>
      </c>
      <c r="C55">
        <v>1547</v>
      </c>
    </row>
    <row r="56" spans="1:7" x14ac:dyDescent="0.3">
      <c r="A56">
        <v>1375</v>
      </c>
      <c r="B56">
        <v>1437</v>
      </c>
      <c r="C56">
        <v>1532</v>
      </c>
    </row>
    <row r="57" spans="1:7" x14ac:dyDescent="0.3">
      <c r="A57">
        <v>1375</v>
      </c>
      <c r="B57">
        <v>1422</v>
      </c>
      <c r="C57">
        <v>1531</v>
      </c>
    </row>
    <row r="58" spans="1:7" x14ac:dyDescent="0.3">
      <c r="A58">
        <v>1375</v>
      </c>
      <c r="B58">
        <v>1407</v>
      </c>
      <c r="C58">
        <v>1453</v>
      </c>
    </row>
    <row r="59" spans="1:7" x14ac:dyDescent="0.3">
      <c r="B59">
        <v>1406</v>
      </c>
      <c r="C59">
        <v>1453</v>
      </c>
    </row>
    <row r="60" spans="1:7" x14ac:dyDescent="0.3">
      <c r="B60">
        <v>1391</v>
      </c>
      <c r="C60">
        <v>1438</v>
      </c>
    </row>
    <row r="61" spans="1:7" x14ac:dyDescent="0.3">
      <c r="C61">
        <v>1421</v>
      </c>
    </row>
    <row r="62" spans="1:7" x14ac:dyDescent="0.3">
      <c r="C62">
        <v>1406</v>
      </c>
    </row>
    <row r="63" spans="1:7" ht="15" customHeight="1" x14ac:dyDescent="0.3">
      <c r="C63">
        <v>1375</v>
      </c>
      <c r="D63" s="1"/>
      <c r="E63" s="1"/>
      <c r="F63" s="1"/>
      <c r="G63" s="1"/>
    </row>
    <row r="64" spans="1:7" x14ac:dyDescent="0.3">
      <c r="C64">
        <v>1359</v>
      </c>
      <c r="D64" s="1"/>
      <c r="E64" s="1"/>
      <c r="F64" s="1"/>
      <c r="G64" s="1"/>
    </row>
    <row r="65" spans="3:7" x14ac:dyDescent="0.3">
      <c r="C65">
        <v>1344</v>
      </c>
      <c r="D65" s="1"/>
      <c r="E65" s="1"/>
      <c r="F65" s="1"/>
      <c r="G65" s="1"/>
    </row>
    <row r="66" spans="3:7" x14ac:dyDescent="0.3">
      <c r="C66">
        <v>1296</v>
      </c>
      <c r="D66" s="1"/>
      <c r="E66" s="1"/>
      <c r="F66" s="1"/>
      <c r="G66" s="1"/>
    </row>
    <row r="67" spans="3:7" x14ac:dyDescent="0.3">
      <c r="C67">
        <v>1296</v>
      </c>
      <c r="D67" s="1"/>
      <c r="E67" s="1"/>
      <c r="F67" s="1"/>
      <c r="G67" s="1"/>
    </row>
    <row r="68" spans="3:7" x14ac:dyDescent="0.3">
      <c r="C68">
        <v>1250</v>
      </c>
      <c r="D68" s="1"/>
      <c r="E68" s="1"/>
      <c r="F68" s="1"/>
      <c r="G68" s="1"/>
    </row>
    <row r="69" spans="3:7" x14ac:dyDescent="0.3">
      <c r="C69">
        <v>1235</v>
      </c>
      <c r="D69" s="1"/>
      <c r="E69" s="1"/>
      <c r="F69" s="1"/>
      <c r="G69" s="1"/>
    </row>
    <row r="70" spans="3:7" x14ac:dyDescent="0.3">
      <c r="C70">
        <v>1125</v>
      </c>
      <c r="D70" s="1"/>
      <c r="E70" s="1"/>
      <c r="F70" s="1"/>
      <c r="G70" s="1"/>
    </row>
  </sheetData>
  <mergeCells count="1">
    <mergeCell ref="F2:K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B1314-FA45-443C-8A90-15A5AF91BBF4}">
  <dimension ref="A1:L70"/>
  <sheetViews>
    <sheetView workbookViewId="0">
      <selection activeCell="I1" sqref="I1:L3"/>
    </sheetView>
  </sheetViews>
  <sheetFormatPr defaultRowHeight="14.4" x14ac:dyDescent="0.3"/>
  <sheetData>
    <row r="1" spans="1:12" x14ac:dyDescent="0.3">
      <c r="A1" t="s">
        <v>0</v>
      </c>
      <c r="B1" t="s">
        <v>1</v>
      </c>
      <c r="C1" t="s">
        <v>2</v>
      </c>
      <c r="J1" t="s">
        <v>0</v>
      </c>
      <c r="K1" t="s">
        <v>1</v>
      </c>
      <c r="L1" t="s">
        <v>2</v>
      </c>
    </row>
    <row r="2" spans="1:12" x14ac:dyDescent="0.3">
      <c r="A2">
        <v>2500</v>
      </c>
      <c r="B2" s="4">
        <v>4703</v>
      </c>
      <c r="C2" s="4">
        <v>15531</v>
      </c>
      <c r="I2" t="s">
        <v>4</v>
      </c>
      <c r="J2">
        <f>AVERAGE(A2:A58)</f>
        <v>1469.5964912280701</v>
      </c>
      <c r="K2">
        <f>AVERAGE(B2:B60)</f>
        <v>1673.1525423728813</v>
      </c>
      <c r="L2">
        <f>AVERAGE(C2:C70)</f>
        <v>3297.913043478261</v>
      </c>
    </row>
    <row r="3" spans="1:12" x14ac:dyDescent="0.3">
      <c r="A3">
        <v>2281</v>
      </c>
      <c r="B3" s="4">
        <v>3453</v>
      </c>
      <c r="C3" s="4">
        <v>14125</v>
      </c>
      <c r="I3" t="s">
        <v>5</v>
      </c>
      <c r="J3">
        <f>STDEV(A2:A58)</f>
        <v>300.09295343568857</v>
      </c>
      <c r="K3">
        <f>STDEV(B2:B60)</f>
        <v>595.69240539633643</v>
      </c>
      <c r="L3">
        <f>STDEV(C2:C70)</f>
        <v>2942.5624874125215</v>
      </c>
    </row>
    <row r="4" spans="1:12" x14ac:dyDescent="0.3">
      <c r="A4">
        <v>1938</v>
      </c>
      <c r="B4" s="4">
        <v>2937</v>
      </c>
      <c r="C4" s="4">
        <v>11656</v>
      </c>
      <c r="I4" t="s">
        <v>6</v>
      </c>
      <c r="J4">
        <f>QUARTILE(A2:A58,1)</f>
        <v>1281</v>
      </c>
      <c r="K4">
        <f>QUARTILE(B2:B60,1)</f>
        <v>1375</v>
      </c>
      <c r="L4">
        <f>QUARTILE(C2:C70,1)</f>
        <v>1547</v>
      </c>
    </row>
    <row r="5" spans="1:12" x14ac:dyDescent="0.3">
      <c r="A5">
        <v>1891</v>
      </c>
      <c r="B5" s="2">
        <v>2594</v>
      </c>
      <c r="C5" s="4">
        <v>11578</v>
      </c>
      <c r="I5" t="s">
        <v>8</v>
      </c>
      <c r="J5">
        <f>QUARTILE(A2:A58,3)</f>
        <v>1594</v>
      </c>
      <c r="K5">
        <f>QUARTILE(B2:B60,3)</f>
        <v>1757.5</v>
      </c>
      <c r="L5">
        <f>QUARTILE(C2:C70,3)</f>
        <v>3782</v>
      </c>
    </row>
    <row r="6" spans="1:12" x14ac:dyDescent="0.3">
      <c r="A6">
        <v>1875</v>
      </c>
      <c r="B6" s="2">
        <v>2516</v>
      </c>
      <c r="C6" s="2">
        <v>8391</v>
      </c>
      <c r="I6" t="s">
        <v>7</v>
      </c>
      <c r="J6">
        <f>J5+3*(J5-J4)</f>
        <v>2533</v>
      </c>
      <c r="K6">
        <f t="shared" ref="K6:L6" si="0">K5+3*(K5-K4)</f>
        <v>2905</v>
      </c>
      <c r="L6">
        <f t="shared" si="0"/>
        <v>10487</v>
      </c>
    </row>
    <row r="7" spans="1:12" x14ac:dyDescent="0.3">
      <c r="A7">
        <v>1875</v>
      </c>
      <c r="B7">
        <v>2437</v>
      </c>
      <c r="C7">
        <v>6828</v>
      </c>
    </row>
    <row r="8" spans="1:12" x14ac:dyDescent="0.3">
      <c r="A8">
        <v>1859</v>
      </c>
      <c r="B8">
        <v>2109</v>
      </c>
      <c r="C8">
        <v>6625</v>
      </c>
    </row>
    <row r="9" spans="1:12" x14ac:dyDescent="0.3">
      <c r="A9">
        <v>1812</v>
      </c>
      <c r="B9">
        <v>2094</v>
      </c>
      <c r="C9">
        <v>6234</v>
      </c>
    </row>
    <row r="10" spans="1:12" x14ac:dyDescent="0.3">
      <c r="A10">
        <v>1797</v>
      </c>
      <c r="B10">
        <v>2093</v>
      </c>
      <c r="C10">
        <v>5953</v>
      </c>
    </row>
    <row r="11" spans="1:12" x14ac:dyDescent="0.3">
      <c r="A11">
        <v>1766</v>
      </c>
      <c r="B11">
        <v>1890</v>
      </c>
      <c r="C11">
        <v>4937</v>
      </c>
    </row>
    <row r="12" spans="1:12" x14ac:dyDescent="0.3">
      <c r="A12">
        <v>1734</v>
      </c>
      <c r="B12">
        <v>1844</v>
      </c>
      <c r="C12">
        <v>4922</v>
      </c>
    </row>
    <row r="13" spans="1:12" x14ac:dyDescent="0.3">
      <c r="A13">
        <v>1719</v>
      </c>
      <c r="B13">
        <v>1796</v>
      </c>
      <c r="C13">
        <v>4172</v>
      </c>
    </row>
    <row r="14" spans="1:12" x14ac:dyDescent="0.3">
      <c r="A14">
        <v>1687</v>
      </c>
      <c r="B14">
        <v>1781</v>
      </c>
      <c r="C14">
        <v>3938</v>
      </c>
    </row>
    <row r="15" spans="1:12" x14ac:dyDescent="0.3">
      <c r="A15">
        <v>1609</v>
      </c>
      <c r="B15">
        <v>1766</v>
      </c>
      <c r="C15">
        <v>3906</v>
      </c>
    </row>
    <row r="16" spans="1:12" x14ac:dyDescent="0.3">
      <c r="A16">
        <v>1594</v>
      </c>
      <c r="B16">
        <v>1765</v>
      </c>
      <c r="C16">
        <v>3875</v>
      </c>
    </row>
    <row r="17" spans="1:3" x14ac:dyDescent="0.3">
      <c r="A17">
        <v>1594</v>
      </c>
      <c r="B17">
        <v>1750</v>
      </c>
      <c r="C17">
        <v>3859</v>
      </c>
    </row>
    <row r="18" spans="1:3" x14ac:dyDescent="0.3">
      <c r="A18">
        <v>1578</v>
      </c>
      <c r="B18">
        <v>1735</v>
      </c>
      <c r="C18">
        <v>3797</v>
      </c>
    </row>
    <row r="19" spans="1:3" x14ac:dyDescent="0.3">
      <c r="A19">
        <v>1547</v>
      </c>
      <c r="B19">
        <v>1719</v>
      </c>
      <c r="C19">
        <v>3782</v>
      </c>
    </row>
    <row r="20" spans="1:3" x14ac:dyDescent="0.3">
      <c r="A20">
        <v>1516</v>
      </c>
      <c r="B20">
        <v>1719</v>
      </c>
      <c r="C20">
        <v>3735</v>
      </c>
    </row>
    <row r="21" spans="1:3" x14ac:dyDescent="0.3">
      <c r="A21">
        <v>1500</v>
      </c>
      <c r="B21">
        <v>1672</v>
      </c>
      <c r="C21">
        <v>3656</v>
      </c>
    </row>
    <row r="22" spans="1:3" x14ac:dyDescent="0.3">
      <c r="A22">
        <v>1500</v>
      </c>
      <c r="B22">
        <v>1656</v>
      </c>
      <c r="C22">
        <v>3640</v>
      </c>
    </row>
    <row r="23" spans="1:3" x14ac:dyDescent="0.3">
      <c r="A23">
        <v>1500</v>
      </c>
      <c r="B23">
        <v>1625</v>
      </c>
      <c r="C23">
        <v>3594</v>
      </c>
    </row>
    <row r="24" spans="1:3" x14ac:dyDescent="0.3">
      <c r="A24">
        <v>1500</v>
      </c>
      <c r="B24">
        <v>1610</v>
      </c>
      <c r="C24">
        <v>3421</v>
      </c>
    </row>
    <row r="25" spans="1:3" x14ac:dyDescent="0.3">
      <c r="A25">
        <v>1468</v>
      </c>
      <c r="B25">
        <v>1609</v>
      </c>
      <c r="C25">
        <v>3406</v>
      </c>
    </row>
    <row r="26" spans="1:3" x14ac:dyDescent="0.3">
      <c r="A26">
        <v>1453</v>
      </c>
      <c r="B26">
        <v>1563</v>
      </c>
      <c r="C26">
        <v>3391</v>
      </c>
    </row>
    <row r="27" spans="1:3" x14ac:dyDescent="0.3">
      <c r="A27">
        <v>1453</v>
      </c>
      <c r="B27">
        <v>1516</v>
      </c>
      <c r="C27">
        <v>3265</v>
      </c>
    </row>
    <row r="28" spans="1:3" x14ac:dyDescent="0.3">
      <c r="A28">
        <v>1453</v>
      </c>
      <c r="B28">
        <v>1516</v>
      </c>
      <c r="C28">
        <v>2844</v>
      </c>
    </row>
    <row r="29" spans="1:3" x14ac:dyDescent="0.3">
      <c r="A29">
        <v>1422</v>
      </c>
      <c r="B29">
        <v>1516</v>
      </c>
      <c r="C29">
        <v>2640</v>
      </c>
    </row>
    <row r="30" spans="1:3" x14ac:dyDescent="0.3">
      <c r="A30">
        <v>1422</v>
      </c>
      <c r="B30">
        <v>1515</v>
      </c>
      <c r="C30">
        <v>2578</v>
      </c>
    </row>
    <row r="31" spans="1:3" x14ac:dyDescent="0.3">
      <c r="A31">
        <v>1406</v>
      </c>
      <c r="B31">
        <v>1500</v>
      </c>
      <c r="C31">
        <v>2468</v>
      </c>
    </row>
    <row r="32" spans="1:3" x14ac:dyDescent="0.3">
      <c r="A32">
        <v>1391</v>
      </c>
      <c r="B32">
        <v>1500</v>
      </c>
      <c r="C32">
        <v>2172</v>
      </c>
    </row>
    <row r="33" spans="1:3" x14ac:dyDescent="0.3">
      <c r="A33">
        <v>1391</v>
      </c>
      <c r="B33">
        <v>1484</v>
      </c>
      <c r="C33">
        <v>2156</v>
      </c>
    </row>
    <row r="34" spans="1:3" x14ac:dyDescent="0.3">
      <c r="A34">
        <v>1390</v>
      </c>
      <c r="B34">
        <v>1484</v>
      </c>
      <c r="C34">
        <v>2140</v>
      </c>
    </row>
    <row r="35" spans="1:3" x14ac:dyDescent="0.3">
      <c r="A35">
        <v>1375</v>
      </c>
      <c r="B35">
        <v>1468</v>
      </c>
      <c r="C35">
        <v>2140</v>
      </c>
    </row>
    <row r="36" spans="1:3" x14ac:dyDescent="0.3">
      <c r="A36">
        <v>1375</v>
      </c>
      <c r="B36">
        <v>1454</v>
      </c>
      <c r="C36">
        <v>2125</v>
      </c>
    </row>
    <row r="37" spans="1:3" x14ac:dyDescent="0.3">
      <c r="A37">
        <v>1375</v>
      </c>
      <c r="B37">
        <v>1437</v>
      </c>
      <c r="C37">
        <v>2093</v>
      </c>
    </row>
    <row r="38" spans="1:3" x14ac:dyDescent="0.3">
      <c r="A38">
        <v>1359</v>
      </c>
      <c r="B38">
        <v>1422</v>
      </c>
      <c r="C38">
        <v>2078</v>
      </c>
    </row>
    <row r="39" spans="1:3" x14ac:dyDescent="0.3">
      <c r="A39">
        <v>1359</v>
      </c>
      <c r="B39">
        <v>1407</v>
      </c>
      <c r="C39">
        <v>2078</v>
      </c>
    </row>
    <row r="40" spans="1:3" x14ac:dyDescent="0.3">
      <c r="A40">
        <v>1344</v>
      </c>
      <c r="B40">
        <v>1406</v>
      </c>
      <c r="C40">
        <v>1922</v>
      </c>
    </row>
    <row r="41" spans="1:3" x14ac:dyDescent="0.3">
      <c r="A41">
        <v>1329</v>
      </c>
      <c r="B41">
        <v>1391</v>
      </c>
      <c r="C41">
        <v>1921</v>
      </c>
    </row>
    <row r="42" spans="1:3" x14ac:dyDescent="0.3">
      <c r="A42">
        <v>1313</v>
      </c>
      <c r="B42">
        <v>1390</v>
      </c>
      <c r="C42">
        <v>1891</v>
      </c>
    </row>
    <row r="43" spans="1:3" x14ac:dyDescent="0.3">
      <c r="A43">
        <v>1282</v>
      </c>
      <c r="B43">
        <v>1375</v>
      </c>
      <c r="C43">
        <v>1875</v>
      </c>
    </row>
    <row r="44" spans="1:3" x14ac:dyDescent="0.3">
      <c r="A44">
        <v>1281</v>
      </c>
      <c r="B44">
        <v>1375</v>
      </c>
      <c r="C44">
        <v>1859</v>
      </c>
    </row>
    <row r="45" spans="1:3" x14ac:dyDescent="0.3">
      <c r="A45">
        <v>1281</v>
      </c>
      <c r="B45">
        <v>1375</v>
      </c>
      <c r="C45">
        <v>1829</v>
      </c>
    </row>
    <row r="46" spans="1:3" x14ac:dyDescent="0.3">
      <c r="A46">
        <v>1281</v>
      </c>
      <c r="B46">
        <v>1375</v>
      </c>
      <c r="C46">
        <v>1719</v>
      </c>
    </row>
    <row r="47" spans="1:3" x14ac:dyDescent="0.3">
      <c r="A47">
        <v>1266</v>
      </c>
      <c r="B47">
        <v>1375</v>
      </c>
      <c r="C47">
        <v>1641</v>
      </c>
    </row>
    <row r="48" spans="1:3" x14ac:dyDescent="0.3">
      <c r="A48">
        <v>1219</v>
      </c>
      <c r="B48">
        <v>1328</v>
      </c>
      <c r="C48">
        <v>1640</v>
      </c>
    </row>
    <row r="49" spans="1:3" x14ac:dyDescent="0.3">
      <c r="A49">
        <v>1203</v>
      </c>
      <c r="B49">
        <v>1328</v>
      </c>
      <c r="C49">
        <v>1625</v>
      </c>
    </row>
    <row r="50" spans="1:3" x14ac:dyDescent="0.3">
      <c r="A50">
        <v>1203</v>
      </c>
      <c r="B50">
        <v>1312</v>
      </c>
      <c r="C50">
        <v>1609</v>
      </c>
    </row>
    <row r="51" spans="1:3" x14ac:dyDescent="0.3">
      <c r="A51">
        <v>1125</v>
      </c>
      <c r="B51">
        <v>1265</v>
      </c>
      <c r="C51">
        <v>1578</v>
      </c>
    </row>
    <row r="52" spans="1:3" x14ac:dyDescent="0.3">
      <c r="A52">
        <v>1110</v>
      </c>
      <c r="B52">
        <v>1250</v>
      </c>
      <c r="C52">
        <v>1563</v>
      </c>
    </row>
    <row r="53" spans="1:3" x14ac:dyDescent="0.3">
      <c r="A53">
        <v>1094</v>
      </c>
      <c r="B53">
        <v>1250</v>
      </c>
      <c r="C53">
        <v>1547</v>
      </c>
    </row>
    <row r="54" spans="1:3" x14ac:dyDescent="0.3">
      <c r="A54">
        <v>1078</v>
      </c>
      <c r="B54">
        <v>1234</v>
      </c>
      <c r="C54">
        <v>1547</v>
      </c>
    </row>
    <row r="55" spans="1:3" x14ac:dyDescent="0.3">
      <c r="A55">
        <v>1078</v>
      </c>
      <c r="B55">
        <v>1234</v>
      </c>
      <c r="C55">
        <v>1547</v>
      </c>
    </row>
    <row r="56" spans="1:3" x14ac:dyDescent="0.3">
      <c r="A56">
        <v>1078</v>
      </c>
      <c r="B56">
        <v>1234</v>
      </c>
      <c r="C56">
        <v>1532</v>
      </c>
    </row>
    <row r="57" spans="1:3" x14ac:dyDescent="0.3">
      <c r="A57">
        <v>1000</v>
      </c>
      <c r="B57">
        <v>1188</v>
      </c>
      <c r="C57">
        <v>1531</v>
      </c>
    </row>
    <row r="58" spans="1:3" x14ac:dyDescent="0.3">
      <c r="A58">
        <v>938</v>
      </c>
      <c r="B58">
        <v>1141</v>
      </c>
      <c r="C58">
        <v>1453</v>
      </c>
    </row>
    <row r="59" spans="1:3" x14ac:dyDescent="0.3">
      <c r="B59">
        <v>1125</v>
      </c>
      <c r="C59">
        <v>1453</v>
      </c>
    </row>
    <row r="60" spans="1:3" x14ac:dyDescent="0.3">
      <c r="B60">
        <v>1110</v>
      </c>
      <c r="C60">
        <v>1438</v>
      </c>
    </row>
    <row r="61" spans="1:3" x14ac:dyDescent="0.3">
      <c r="C61">
        <v>1421</v>
      </c>
    </row>
    <row r="62" spans="1:3" x14ac:dyDescent="0.3">
      <c r="C62">
        <v>1406</v>
      </c>
    </row>
    <row r="63" spans="1:3" x14ac:dyDescent="0.3">
      <c r="C63">
        <v>1375</v>
      </c>
    </row>
    <row r="64" spans="1:3" x14ac:dyDescent="0.3">
      <c r="C64">
        <v>1359</v>
      </c>
    </row>
    <row r="65" spans="3:3" x14ac:dyDescent="0.3">
      <c r="C65">
        <v>1344</v>
      </c>
    </row>
    <row r="66" spans="3:3" x14ac:dyDescent="0.3">
      <c r="C66">
        <v>1296</v>
      </c>
    </row>
    <row r="67" spans="3:3" x14ac:dyDescent="0.3">
      <c r="C67">
        <v>1296</v>
      </c>
    </row>
    <row r="68" spans="3:3" x14ac:dyDescent="0.3">
      <c r="C68">
        <v>1250</v>
      </c>
    </row>
    <row r="69" spans="3:3" x14ac:dyDescent="0.3">
      <c r="C69">
        <v>1235</v>
      </c>
    </row>
    <row r="70" spans="3:3" x14ac:dyDescent="0.3">
      <c r="C70">
        <v>1125</v>
      </c>
    </row>
  </sheetData>
  <sortState xmlns:xlrd2="http://schemas.microsoft.com/office/spreadsheetml/2017/richdata2" ref="C2:C70">
    <sortCondition descending="1" ref="C2:C70"/>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28C2E-BBCE-4388-AD38-053C6BC48681}">
  <dimension ref="A1:L66"/>
  <sheetViews>
    <sheetView topLeftCell="A25" zoomScale="130" zoomScaleNormal="130" workbookViewId="0">
      <selection activeCell="F12" sqref="F12"/>
    </sheetView>
  </sheetViews>
  <sheetFormatPr defaultRowHeight="14.4" x14ac:dyDescent="0.3"/>
  <sheetData>
    <row r="1" spans="1:12" x14ac:dyDescent="0.3">
      <c r="A1" t="s">
        <v>0</v>
      </c>
      <c r="B1" t="s">
        <v>1</v>
      </c>
      <c r="C1" t="s">
        <v>2</v>
      </c>
      <c r="J1" t="s">
        <v>0</v>
      </c>
      <c r="K1" t="s">
        <v>1</v>
      </c>
      <c r="L1" t="s">
        <v>2</v>
      </c>
    </row>
    <row r="2" spans="1:12" x14ac:dyDescent="0.3">
      <c r="A2">
        <v>2500</v>
      </c>
      <c r="B2" s="2">
        <v>2594</v>
      </c>
      <c r="C2" s="2">
        <v>8391</v>
      </c>
      <c r="I2" t="s">
        <v>4</v>
      </c>
      <c r="J2">
        <f>AVERAGE(A2:A58)</f>
        <v>1469.5964912280701</v>
      </c>
      <c r="K2">
        <f>AVERAGE(B2:B57)</f>
        <v>1564.6964285714287</v>
      </c>
      <c r="L2">
        <f>AVERAGE(C2:C66)</f>
        <v>2687.1692307692306</v>
      </c>
    </row>
    <row r="3" spans="1:12" x14ac:dyDescent="0.3">
      <c r="A3">
        <v>2281</v>
      </c>
      <c r="B3" s="2">
        <v>2516</v>
      </c>
      <c r="C3">
        <v>6828</v>
      </c>
      <c r="I3" t="s">
        <v>5</v>
      </c>
      <c r="J3">
        <f>STDEV(A2:A58)</f>
        <v>300.09295343568857</v>
      </c>
      <c r="K3">
        <f>STDEV(B2:B57)</f>
        <v>329.66682462713777</v>
      </c>
      <c r="L3">
        <f>STDEV(C2:C66)</f>
        <v>1577.4416844335201</v>
      </c>
    </row>
    <row r="4" spans="1:12" x14ac:dyDescent="0.3">
      <c r="A4">
        <v>1938</v>
      </c>
      <c r="B4">
        <v>2437</v>
      </c>
      <c r="C4">
        <v>6625</v>
      </c>
    </row>
    <row r="5" spans="1:12" x14ac:dyDescent="0.3">
      <c r="A5">
        <v>1891</v>
      </c>
      <c r="B5">
        <v>2109</v>
      </c>
      <c r="C5">
        <v>6234</v>
      </c>
    </row>
    <row r="6" spans="1:12" x14ac:dyDescent="0.3">
      <c r="A6">
        <v>1875</v>
      </c>
      <c r="B6">
        <v>2094</v>
      </c>
      <c r="C6">
        <v>5953</v>
      </c>
    </row>
    <row r="7" spans="1:12" x14ac:dyDescent="0.3">
      <c r="A7">
        <v>1875</v>
      </c>
      <c r="B7">
        <v>2093</v>
      </c>
      <c r="C7">
        <v>4937</v>
      </c>
    </row>
    <row r="8" spans="1:12" x14ac:dyDescent="0.3">
      <c r="A8">
        <v>1859</v>
      </c>
      <c r="B8">
        <v>1890</v>
      </c>
      <c r="C8">
        <v>4922</v>
      </c>
    </row>
    <row r="9" spans="1:12" x14ac:dyDescent="0.3">
      <c r="A9">
        <v>1812</v>
      </c>
      <c r="B9">
        <v>1844</v>
      </c>
      <c r="C9">
        <v>4172</v>
      </c>
    </row>
    <row r="10" spans="1:12" x14ac:dyDescent="0.3">
      <c r="A10">
        <v>1797</v>
      </c>
      <c r="B10">
        <v>1796</v>
      </c>
      <c r="C10">
        <v>3938</v>
      </c>
    </row>
    <row r="11" spans="1:12" x14ac:dyDescent="0.3">
      <c r="A11">
        <v>1766</v>
      </c>
      <c r="B11">
        <v>1781</v>
      </c>
      <c r="C11">
        <v>3906</v>
      </c>
    </row>
    <row r="12" spans="1:12" x14ac:dyDescent="0.3">
      <c r="A12">
        <v>1734</v>
      </c>
      <c r="B12">
        <v>1766</v>
      </c>
      <c r="C12">
        <v>3875</v>
      </c>
    </row>
    <row r="13" spans="1:12" x14ac:dyDescent="0.3">
      <c r="A13">
        <v>1719</v>
      </c>
      <c r="B13">
        <v>1765</v>
      </c>
      <c r="C13">
        <v>3859</v>
      </c>
    </row>
    <row r="14" spans="1:12" x14ac:dyDescent="0.3">
      <c r="A14">
        <v>1687</v>
      </c>
      <c r="B14">
        <v>1750</v>
      </c>
      <c r="C14">
        <v>3797</v>
      </c>
    </row>
    <row r="15" spans="1:12" x14ac:dyDescent="0.3">
      <c r="A15">
        <v>1609</v>
      </c>
      <c r="B15">
        <v>1735</v>
      </c>
      <c r="C15">
        <v>3782</v>
      </c>
    </row>
    <row r="16" spans="1:12" x14ac:dyDescent="0.3">
      <c r="A16">
        <v>1594</v>
      </c>
      <c r="B16">
        <v>1719</v>
      </c>
      <c r="C16">
        <v>3735</v>
      </c>
    </row>
    <row r="17" spans="1:3" x14ac:dyDescent="0.3">
      <c r="A17">
        <v>1594</v>
      </c>
      <c r="B17">
        <v>1719</v>
      </c>
      <c r="C17">
        <v>3656</v>
      </c>
    </row>
    <row r="18" spans="1:3" x14ac:dyDescent="0.3">
      <c r="A18">
        <v>1578</v>
      </c>
      <c r="B18">
        <v>1672</v>
      </c>
      <c r="C18">
        <v>3640</v>
      </c>
    </row>
    <row r="19" spans="1:3" x14ac:dyDescent="0.3">
      <c r="A19">
        <v>1547</v>
      </c>
      <c r="B19">
        <v>1656</v>
      </c>
      <c r="C19">
        <v>3594</v>
      </c>
    </row>
    <row r="20" spans="1:3" x14ac:dyDescent="0.3">
      <c r="A20">
        <v>1516</v>
      </c>
      <c r="B20">
        <v>1625</v>
      </c>
      <c r="C20">
        <v>3421</v>
      </c>
    </row>
    <row r="21" spans="1:3" x14ac:dyDescent="0.3">
      <c r="A21">
        <v>1500</v>
      </c>
      <c r="B21">
        <v>1610</v>
      </c>
      <c r="C21">
        <v>3406</v>
      </c>
    </row>
    <row r="22" spans="1:3" x14ac:dyDescent="0.3">
      <c r="A22">
        <v>1500</v>
      </c>
      <c r="B22">
        <v>1609</v>
      </c>
      <c r="C22">
        <v>3391</v>
      </c>
    </row>
    <row r="23" spans="1:3" x14ac:dyDescent="0.3">
      <c r="A23">
        <v>1500</v>
      </c>
      <c r="B23">
        <v>1563</v>
      </c>
      <c r="C23">
        <v>3265</v>
      </c>
    </row>
    <row r="24" spans="1:3" x14ac:dyDescent="0.3">
      <c r="A24">
        <v>1500</v>
      </c>
      <c r="B24">
        <v>1516</v>
      </c>
      <c r="C24">
        <v>2844</v>
      </c>
    </row>
    <row r="25" spans="1:3" x14ac:dyDescent="0.3">
      <c r="A25">
        <v>1468</v>
      </c>
      <c r="B25">
        <v>1516</v>
      </c>
      <c r="C25">
        <v>2640</v>
      </c>
    </row>
    <row r="26" spans="1:3" x14ac:dyDescent="0.3">
      <c r="A26">
        <v>1453</v>
      </c>
      <c r="B26">
        <v>1516</v>
      </c>
      <c r="C26">
        <v>2578</v>
      </c>
    </row>
    <row r="27" spans="1:3" x14ac:dyDescent="0.3">
      <c r="A27">
        <v>1453</v>
      </c>
      <c r="B27">
        <v>1515</v>
      </c>
      <c r="C27">
        <v>2468</v>
      </c>
    </row>
    <row r="28" spans="1:3" x14ac:dyDescent="0.3">
      <c r="A28">
        <v>1453</v>
      </c>
      <c r="B28">
        <v>1500</v>
      </c>
      <c r="C28">
        <v>2172</v>
      </c>
    </row>
    <row r="29" spans="1:3" x14ac:dyDescent="0.3">
      <c r="A29">
        <v>1422</v>
      </c>
      <c r="B29">
        <v>1500</v>
      </c>
      <c r="C29">
        <v>2156</v>
      </c>
    </row>
    <row r="30" spans="1:3" x14ac:dyDescent="0.3">
      <c r="A30">
        <v>1422</v>
      </c>
      <c r="B30">
        <v>1484</v>
      </c>
      <c r="C30">
        <v>2140</v>
      </c>
    </row>
    <row r="31" spans="1:3" x14ac:dyDescent="0.3">
      <c r="A31">
        <v>1406</v>
      </c>
      <c r="B31">
        <v>1484</v>
      </c>
      <c r="C31">
        <v>2140</v>
      </c>
    </row>
    <row r="32" spans="1:3" x14ac:dyDescent="0.3">
      <c r="A32">
        <v>1391</v>
      </c>
      <c r="B32">
        <v>1468</v>
      </c>
      <c r="C32">
        <v>2125</v>
      </c>
    </row>
    <row r="33" spans="1:3" x14ac:dyDescent="0.3">
      <c r="A33">
        <v>1391</v>
      </c>
      <c r="B33">
        <v>1454</v>
      </c>
      <c r="C33">
        <v>2093</v>
      </c>
    </row>
    <row r="34" spans="1:3" x14ac:dyDescent="0.3">
      <c r="A34">
        <v>1390</v>
      </c>
      <c r="B34">
        <v>1437</v>
      </c>
      <c r="C34">
        <v>2078</v>
      </c>
    </row>
    <row r="35" spans="1:3" x14ac:dyDescent="0.3">
      <c r="A35">
        <v>1375</v>
      </c>
      <c r="B35">
        <v>1422</v>
      </c>
      <c r="C35">
        <v>2078</v>
      </c>
    </row>
    <row r="36" spans="1:3" x14ac:dyDescent="0.3">
      <c r="A36">
        <v>1375</v>
      </c>
      <c r="B36">
        <v>1407</v>
      </c>
      <c r="C36">
        <v>1922</v>
      </c>
    </row>
    <row r="37" spans="1:3" x14ac:dyDescent="0.3">
      <c r="A37">
        <v>1375</v>
      </c>
      <c r="B37">
        <v>1406</v>
      </c>
      <c r="C37">
        <v>1921</v>
      </c>
    </row>
    <row r="38" spans="1:3" x14ac:dyDescent="0.3">
      <c r="A38">
        <v>1359</v>
      </c>
      <c r="B38">
        <v>1391</v>
      </c>
      <c r="C38">
        <v>1891</v>
      </c>
    </row>
    <row r="39" spans="1:3" x14ac:dyDescent="0.3">
      <c r="A39">
        <v>1359</v>
      </c>
      <c r="B39">
        <v>1390</v>
      </c>
      <c r="C39">
        <v>1875</v>
      </c>
    </row>
    <row r="40" spans="1:3" x14ac:dyDescent="0.3">
      <c r="A40">
        <v>1344</v>
      </c>
      <c r="B40">
        <v>1375</v>
      </c>
      <c r="C40">
        <v>1859</v>
      </c>
    </row>
    <row r="41" spans="1:3" x14ac:dyDescent="0.3">
      <c r="A41">
        <v>1329</v>
      </c>
      <c r="B41">
        <v>1375</v>
      </c>
      <c r="C41">
        <v>1829</v>
      </c>
    </row>
    <row r="42" spans="1:3" x14ac:dyDescent="0.3">
      <c r="A42">
        <v>1313</v>
      </c>
      <c r="B42">
        <v>1375</v>
      </c>
      <c r="C42">
        <v>1719</v>
      </c>
    </row>
    <row r="43" spans="1:3" x14ac:dyDescent="0.3">
      <c r="A43">
        <v>1282</v>
      </c>
      <c r="B43">
        <v>1375</v>
      </c>
      <c r="C43">
        <v>1641</v>
      </c>
    </row>
    <row r="44" spans="1:3" x14ac:dyDescent="0.3">
      <c r="A44">
        <v>1281</v>
      </c>
      <c r="B44">
        <v>1375</v>
      </c>
      <c r="C44">
        <v>1640</v>
      </c>
    </row>
    <row r="45" spans="1:3" x14ac:dyDescent="0.3">
      <c r="A45">
        <v>1281</v>
      </c>
      <c r="B45">
        <v>1328</v>
      </c>
      <c r="C45">
        <v>1625</v>
      </c>
    </row>
    <row r="46" spans="1:3" x14ac:dyDescent="0.3">
      <c r="A46">
        <v>1281</v>
      </c>
      <c r="B46">
        <v>1328</v>
      </c>
      <c r="C46">
        <v>1609</v>
      </c>
    </row>
    <row r="47" spans="1:3" x14ac:dyDescent="0.3">
      <c r="A47">
        <v>1266</v>
      </c>
      <c r="B47">
        <v>1312</v>
      </c>
      <c r="C47">
        <v>1578</v>
      </c>
    </row>
    <row r="48" spans="1:3" x14ac:dyDescent="0.3">
      <c r="A48">
        <v>1219</v>
      </c>
      <c r="B48">
        <v>1265</v>
      </c>
      <c r="C48">
        <v>1563</v>
      </c>
    </row>
    <row r="49" spans="1:3" x14ac:dyDescent="0.3">
      <c r="A49">
        <v>1203</v>
      </c>
      <c r="B49">
        <v>1250</v>
      </c>
      <c r="C49">
        <v>1547</v>
      </c>
    </row>
    <row r="50" spans="1:3" x14ac:dyDescent="0.3">
      <c r="A50">
        <v>1203</v>
      </c>
      <c r="B50">
        <v>1250</v>
      </c>
      <c r="C50">
        <v>1547</v>
      </c>
    </row>
    <row r="51" spans="1:3" x14ac:dyDescent="0.3">
      <c r="A51">
        <v>1125</v>
      </c>
      <c r="B51">
        <v>1234</v>
      </c>
      <c r="C51">
        <v>1547</v>
      </c>
    </row>
    <row r="52" spans="1:3" x14ac:dyDescent="0.3">
      <c r="A52">
        <v>1110</v>
      </c>
      <c r="B52">
        <v>1234</v>
      </c>
      <c r="C52">
        <v>1532</v>
      </c>
    </row>
    <row r="53" spans="1:3" x14ac:dyDescent="0.3">
      <c r="A53">
        <v>1094</v>
      </c>
      <c r="B53">
        <v>1234</v>
      </c>
      <c r="C53">
        <v>1531</v>
      </c>
    </row>
    <row r="54" spans="1:3" x14ac:dyDescent="0.3">
      <c r="A54">
        <v>1078</v>
      </c>
      <c r="B54">
        <v>1188</v>
      </c>
      <c r="C54">
        <v>1453</v>
      </c>
    </row>
    <row r="55" spans="1:3" x14ac:dyDescent="0.3">
      <c r="A55">
        <v>1078</v>
      </c>
      <c r="B55">
        <v>1141</v>
      </c>
      <c r="C55">
        <v>1453</v>
      </c>
    </row>
    <row r="56" spans="1:3" x14ac:dyDescent="0.3">
      <c r="A56">
        <v>1078</v>
      </c>
      <c r="B56">
        <v>1125</v>
      </c>
      <c r="C56">
        <v>1438</v>
      </c>
    </row>
    <row r="57" spans="1:3" x14ac:dyDescent="0.3">
      <c r="A57">
        <v>1000</v>
      </c>
      <c r="B57">
        <v>1110</v>
      </c>
      <c r="C57">
        <v>1421</v>
      </c>
    </row>
    <row r="58" spans="1:3" x14ac:dyDescent="0.3">
      <c r="A58">
        <v>938</v>
      </c>
      <c r="C58">
        <v>1406</v>
      </c>
    </row>
    <row r="59" spans="1:3" x14ac:dyDescent="0.3">
      <c r="C59">
        <v>1375</v>
      </c>
    </row>
    <row r="60" spans="1:3" x14ac:dyDescent="0.3">
      <c r="C60">
        <v>1359</v>
      </c>
    </row>
    <row r="61" spans="1:3" x14ac:dyDescent="0.3">
      <c r="C61">
        <v>1344</v>
      </c>
    </row>
    <row r="62" spans="1:3" x14ac:dyDescent="0.3">
      <c r="C62">
        <v>1296</v>
      </c>
    </row>
    <row r="63" spans="1:3" x14ac:dyDescent="0.3">
      <c r="C63">
        <v>1296</v>
      </c>
    </row>
    <row r="64" spans="1:3" x14ac:dyDescent="0.3">
      <c r="C64">
        <v>1250</v>
      </c>
    </row>
    <row r="65" spans="3:3" x14ac:dyDescent="0.3">
      <c r="C65">
        <v>1235</v>
      </c>
    </row>
    <row r="66" spans="3:3" x14ac:dyDescent="0.3">
      <c r="C66">
        <v>1125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458C6-D13B-41CB-B75C-3910C0AB6A9D}">
  <dimension ref="A1:N66"/>
  <sheetViews>
    <sheetView topLeftCell="A12" workbookViewId="0">
      <selection activeCell="R11" sqref="R11"/>
    </sheetView>
  </sheetViews>
  <sheetFormatPr defaultRowHeight="14.4" x14ac:dyDescent="0.3"/>
  <cols>
    <col min="8" max="8" width="18" customWidth="1"/>
    <col min="10" max="10" width="17" customWidth="1"/>
    <col min="18" max="18" width="17" customWidth="1"/>
  </cols>
  <sheetData>
    <row r="1" spans="1:12" x14ac:dyDescent="0.3">
      <c r="A1" t="s">
        <v>0</v>
      </c>
      <c r="B1" t="s">
        <v>1</v>
      </c>
      <c r="C1" t="s">
        <v>2</v>
      </c>
    </row>
    <row r="2" spans="1:12" x14ac:dyDescent="0.3">
      <c r="A2">
        <v>2500</v>
      </c>
      <c r="B2" s="2">
        <v>2594</v>
      </c>
      <c r="C2" s="2">
        <v>8391</v>
      </c>
    </row>
    <row r="3" spans="1:12" x14ac:dyDescent="0.3">
      <c r="A3">
        <v>2281</v>
      </c>
      <c r="B3" s="2">
        <v>2516</v>
      </c>
      <c r="C3">
        <v>6828</v>
      </c>
    </row>
    <row r="4" spans="1:12" x14ac:dyDescent="0.3">
      <c r="A4">
        <v>1938</v>
      </c>
      <c r="B4">
        <v>2437</v>
      </c>
      <c r="C4">
        <v>6625</v>
      </c>
    </row>
    <row r="5" spans="1:12" x14ac:dyDescent="0.3">
      <c r="A5">
        <v>1891</v>
      </c>
      <c r="B5">
        <v>2109</v>
      </c>
      <c r="C5">
        <v>6234</v>
      </c>
    </row>
    <row r="6" spans="1:12" x14ac:dyDescent="0.3">
      <c r="A6">
        <v>1875</v>
      </c>
      <c r="B6">
        <v>2094</v>
      </c>
      <c r="C6">
        <v>5953</v>
      </c>
    </row>
    <row r="7" spans="1:12" x14ac:dyDescent="0.3">
      <c r="A7">
        <v>1875</v>
      </c>
      <c r="B7">
        <v>2093</v>
      </c>
      <c r="C7">
        <v>4937</v>
      </c>
      <c r="H7" t="s">
        <v>9</v>
      </c>
    </row>
    <row r="8" spans="1:12" x14ac:dyDescent="0.3">
      <c r="A8">
        <v>1859</v>
      </c>
      <c r="B8">
        <v>1890</v>
      </c>
      <c r="C8">
        <v>4922</v>
      </c>
    </row>
    <row r="9" spans="1:12" ht="15" thickBot="1" x14ac:dyDescent="0.35">
      <c r="A9">
        <v>1812</v>
      </c>
      <c r="B9">
        <v>1844</v>
      </c>
      <c r="C9">
        <v>4172</v>
      </c>
      <c r="H9" t="s">
        <v>10</v>
      </c>
    </row>
    <row r="10" spans="1:12" x14ac:dyDescent="0.3">
      <c r="A10">
        <v>1797</v>
      </c>
      <c r="B10">
        <v>1796</v>
      </c>
      <c r="C10">
        <v>3938</v>
      </c>
      <c r="H10" s="8" t="s">
        <v>11</v>
      </c>
      <c r="I10" s="8" t="s">
        <v>12</v>
      </c>
      <c r="J10" s="8" t="s">
        <v>13</v>
      </c>
      <c r="K10" s="8" t="s">
        <v>14</v>
      </c>
      <c r="L10" s="8" t="s">
        <v>15</v>
      </c>
    </row>
    <row r="11" spans="1:12" x14ac:dyDescent="0.3">
      <c r="A11">
        <v>1766</v>
      </c>
      <c r="B11">
        <v>1781</v>
      </c>
      <c r="C11">
        <v>3906</v>
      </c>
      <c r="H11" s="6" t="s">
        <v>0</v>
      </c>
      <c r="I11" s="6">
        <v>57</v>
      </c>
      <c r="J11" s="6">
        <v>83767</v>
      </c>
      <c r="K11" s="6">
        <v>1469.5964912280701</v>
      </c>
      <c r="L11" s="6">
        <v>90055.780701754353</v>
      </c>
    </row>
    <row r="12" spans="1:12" x14ac:dyDescent="0.3">
      <c r="A12">
        <v>1734</v>
      </c>
      <c r="B12">
        <v>1766</v>
      </c>
      <c r="C12">
        <v>3875</v>
      </c>
      <c r="H12" s="6" t="s">
        <v>1</v>
      </c>
      <c r="I12" s="6">
        <v>56</v>
      </c>
      <c r="J12" s="6">
        <v>87623</v>
      </c>
      <c r="K12" s="6">
        <v>1564.6964285714287</v>
      </c>
      <c r="L12" s="6">
        <v>108680.21525974003</v>
      </c>
    </row>
    <row r="13" spans="1:12" ht="15" thickBot="1" x14ac:dyDescent="0.35">
      <c r="A13">
        <v>1719</v>
      </c>
      <c r="B13">
        <v>1765</v>
      </c>
      <c r="C13">
        <v>3859</v>
      </c>
      <c r="H13" s="7" t="s">
        <v>2</v>
      </c>
      <c r="I13" s="7">
        <v>65</v>
      </c>
      <c r="J13" s="7">
        <v>174666</v>
      </c>
      <c r="K13" s="7">
        <v>2687.1692307692306</v>
      </c>
      <c r="L13" s="7">
        <v>2488322.2677884614</v>
      </c>
    </row>
    <row r="14" spans="1:12" x14ac:dyDescent="0.3">
      <c r="A14">
        <v>1687</v>
      </c>
      <c r="B14">
        <v>1750</v>
      </c>
      <c r="C14">
        <v>3797</v>
      </c>
    </row>
    <row r="15" spans="1:12" x14ac:dyDescent="0.3">
      <c r="A15">
        <v>1609</v>
      </c>
      <c r="B15">
        <v>1735</v>
      </c>
      <c r="C15">
        <v>3782</v>
      </c>
    </row>
    <row r="16" spans="1:12" ht="15" thickBot="1" x14ac:dyDescent="0.35">
      <c r="A16">
        <v>1594</v>
      </c>
      <c r="B16">
        <v>1719</v>
      </c>
      <c r="C16">
        <v>3735</v>
      </c>
      <c r="H16" t="s">
        <v>16</v>
      </c>
    </row>
    <row r="17" spans="1:14" x14ac:dyDescent="0.3">
      <c r="A17">
        <v>1594</v>
      </c>
      <c r="B17">
        <v>1719</v>
      </c>
      <c r="C17">
        <v>3656</v>
      </c>
      <c r="H17" s="8" t="s">
        <v>17</v>
      </c>
      <c r="I17" s="8" t="s">
        <v>18</v>
      </c>
      <c r="J17" s="8" t="s">
        <v>19</v>
      </c>
      <c r="K17" s="8" t="s">
        <v>20</v>
      </c>
      <c r="L17" s="8" t="s">
        <v>21</v>
      </c>
      <c r="M17" s="8" t="s">
        <v>22</v>
      </c>
      <c r="N17" s="8" t="s">
        <v>23</v>
      </c>
    </row>
    <row r="18" spans="1:14" x14ac:dyDescent="0.3">
      <c r="A18">
        <v>1578</v>
      </c>
      <c r="B18">
        <v>1672</v>
      </c>
      <c r="C18">
        <v>3640</v>
      </c>
      <c r="H18" s="6" t="s">
        <v>24</v>
      </c>
      <c r="I18" s="6">
        <v>56784662.066999346</v>
      </c>
      <c r="J18" s="6">
        <v>2</v>
      </c>
      <c r="K18" s="6">
        <v>28392331.033499673</v>
      </c>
      <c r="L18" s="6">
        <v>29.180511541116037</v>
      </c>
      <c r="M18" s="6">
        <v>1.1570476640855031E-11</v>
      </c>
      <c r="N18" s="6">
        <v>3.047604921092864</v>
      </c>
    </row>
    <row r="19" spans="1:14" x14ac:dyDescent="0.3">
      <c r="A19">
        <v>1547</v>
      </c>
      <c r="B19">
        <v>1656</v>
      </c>
      <c r="C19">
        <v>3594</v>
      </c>
      <c r="H19" s="6" t="s">
        <v>25</v>
      </c>
      <c r="I19" s="6">
        <v>170273160.69704553</v>
      </c>
      <c r="J19" s="6">
        <v>175</v>
      </c>
      <c r="K19" s="6">
        <v>972989.48969740304</v>
      </c>
      <c r="L19" s="6"/>
      <c r="M19" s="6"/>
      <c r="N19" s="6"/>
    </row>
    <row r="20" spans="1:14" x14ac:dyDescent="0.3">
      <c r="A20">
        <v>1516</v>
      </c>
      <c r="B20">
        <v>1625</v>
      </c>
      <c r="C20">
        <v>3421</v>
      </c>
      <c r="H20" s="6"/>
      <c r="I20" s="6"/>
      <c r="J20" s="6"/>
      <c r="K20" s="6"/>
      <c r="L20" s="6"/>
      <c r="M20" s="6"/>
      <c r="N20" s="6"/>
    </row>
    <row r="21" spans="1:14" ht="15" thickBot="1" x14ac:dyDescent="0.35">
      <c r="A21">
        <v>1500</v>
      </c>
      <c r="B21">
        <v>1610</v>
      </c>
      <c r="C21">
        <v>3406</v>
      </c>
      <c r="H21" s="7" t="s">
        <v>26</v>
      </c>
      <c r="I21" s="7">
        <v>227057822.76404488</v>
      </c>
      <c r="J21" s="7">
        <v>177</v>
      </c>
      <c r="K21" s="7"/>
      <c r="L21" s="7"/>
      <c r="M21" s="7"/>
      <c r="N21" s="7"/>
    </row>
    <row r="22" spans="1:14" x14ac:dyDescent="0.3">
      <c r="A22">
        <v>1500</v>
      </c>
      <c r="B22">
        <v>1609</v>
      </c>
      <c r="C22">
        <v>3391</v>
      </c>
    </row>
    <row r="23" spans="1:14" x14ac:dyDescent="0.3">
      <c r="A23">
        <v>1500</v>
      </c>
      <c r="B23">
        <v>1563</v>
      </c>
      <c r="C23">
        <v>3265</v>
      </c>
    </row>
    <row r="24" spans="1:14" ht="16.2" x14ac:dyDescent="0.3">
      <c r="A24">
        <v>1500</v>
      </c>
      <c r="B24">
        <v>1516</v>
      </c>
      <c r="C24">
        <v>2844</v>
      </c>
      <c r="H24" t="s">
        <v>27</v>
      </c>
      <c r="I24">
        <f>I18/I21</f>
        <v>0.25008899220358122</v>
      </c>
    </row>
    <row r="25" spans="1:14" x14ac:dyDescent="0.3">
      <c r="A25">
        <v>1468</v>
      </c>
      <c r="B25">
        <v>1516</v>
      </c>
      <c r="C25">
        <v>2640</v>
      </c>
    </row>
    <row r="26" spans="1:14" x14ac:dyDescent="0.3">
      <c r="A26">
        <v>1453</v>
      </c>
      <c r="B26">
        <v>1516</v>
      </c>
      <c r="C26">
        <v>2578</v>
      </c>
    </row>
    <row r="27" spans="1:14" x14ac:dyDescent="0.3">
      <c r="A27">
        <v>1453</v>
      </c>
      <c r="B27">
        <v>1515</v>
      </c>
      <c r="C27">
        <v>2468</v>
      </c>
    </row>
    <row r="28" spans="1:14" x14ac:dyDescent="0.3">
      <c r="A28">
        <v>1453</v>
      </c>
      <c r="B28">
        <v>1500</v>
      </c>
      <c r="C28">
        <v>2172</v>
      </c>
    </row>
    <row r="29" spans="1:14" x14ac:dyDescent="0.3">
      <c r="A29">
        <v>1422</v>
      </c>
      <c r="B29">
        <v>1500</v>
      </c>
      <c r="C29">
        <v>2156</v>
      </c>
    </row>
    <row r="30" spans="1:14" x14ac:dyDescent="0.3">
      <c r="A30">
        <v>1422</v>
      </c>
      <c r="B30">
        <v>1484</v>
      </c>
      <c r="C30">
        <v>2140</v>
      </c>
    </row>
    <row r="31" spans="1:14" x14ac:dyDescent="0.3">
      <c r="A31">
        <v>1406</v>
      </c>
      <c r="B31">
        <v>1484</v>
      </c>
      <c r="C31">
        <v>2140</v>
      </c>
    </row>
    <row r="32" spans="1:14" x14ac:dyDescent="0.3">
      <c r="A32">
        <v>1391</v>
      </c>
      <c r="B32">
        <v>1468</v>
      </c>
      <c r="C32">
        <v>2125</v>
      </c>
    </row>
    <row r="33" spans="1:3" x14ac:dyDescent="0.3">
      <c r="A33">
        <v>1391</v>
      </c>
      <c r="B33">
        <v>1454</v>
      </c>
      <c r="C33">
        <v>2093</v>
      </c>
    </row>
    <row r="34" spans="1:3" x14ac:dyDescent="0.3">
      <c r="A34">
        <v>1390</v>
      </c>
      <c r="B34">
        <v>1437</v>
      </c>
      <c r="C34">
        <v>2078</v>
      </c>
    </row>
    <row r="35" spans="1:3" x14ac:dyDescent="0.3">
      <c r="A35">
        <v>1375</v>
      </c>
      <c r="B35">
        <v>1422</v>
      </c>
      <c r="C35">
        <v>2078</v>
      </c>
    </row>
    <row r="36" spans="1:3" x14ac:dyDescent="0.3">
      <c r="A36">
        <v>1375</v>
      </c>
      <c r="B36">
        <v>1407</v>
      </c>
      <c r="C36">
        <v>1922</v>
      </c>
    </row>
    <row r="37" spans="1:3" x14ac:dyDescent="0.3">
      <c r="A37">
        <v>1375</v>
      </c>
      <c r="B37">
        <v>1406</v>
      </c>
      <c r="C37">
        <v>1921</v>
      </c>
    </row>
    <row r="38" spans="1:3" x14ac:dyDescent="0.3">
      <c r="A38">
        <v>1359</v>
      </c>
      <c r="B38">
        <v>1391</v>
      </c>
      <c r="C38">
        <v>1891</v>
      </c>
    </row>
    <row r="39" spans="1:3" x14ac:dyDescent="0.3">
      <c r="A39">
        <v>1359</v>
      </c>
      <c r="B39">
        <v>1390</v>
      </c>
      <c r="C39">
        <v>1875</v>
      </c>
    </row>
    <row r="40" spans="1:3" x14ac:dyDescent="0.3">
      <c r="A40">
        <v>1344</v>
      </c>
      <c r="B40">
        <v>1375</v>
      </c>
      <c r="C40">
        <v>1859</v>
      </c>
    </row>
    <row r="41" spans="1:3" x14ac:dyDescent="0.3">
      <c r="A41">
        <v>1329</v>
      </c>
      <c r="B41">
        <v>1375</v>
      </c>
      <c r="C41">
        <v>1829</v>
      </c>
    </row>
    <row r="42" spans="1:3" x14ac:dyDescent="0.3">
      <c r="A42">
        <v>1313</v>
      </c>
      <c r="B42">
        <v>1375</v>
      </c>
      <c r="C42">
        <v>1719</v>
      </c>
    </row>
    <row r="43" spans="1:3" x14ac:dyDescent="0.3">
      <c r="A43">
        <v>1282</v>
      </c>
      <c r="B43">
        <v>1375</v>
      </c>
      <c r="C43">
        <v>1641</v>
      </c>
    </row>
    <row r="44" spans="1:3" x14ac:dyDescent="0.3">
      <c r="A44">
        <v>1281</v>
      </c>
      <c r="B44">
        <v>1375</v>
      </c>
      <c r="C44">
        <v>1640</v>
      </c>
    </row>
    <row r="45" spans="1:3" x14ac:dyDescent="0.3">
      <c r="A45">
        <v>1281</v>
      </c>
      <c r="B45">
        <v>1328</v>
      </c>
      <c r="C45">
        <v>1625</v>
      </c>
    </row>
    <row r="46" spans="1:3" x14ac:dyDescent="0.3">
      <c r="A46">
        <v>1281</v>
      </c>
      <c r="B46">
        <v>1328</v>
      </c>
      <c r="C46">
        <v>1609</v>
      </c>
    </row>
    <row r="47" spans="1:3" x14ac:dyDescent="0.3">
      <c r="A47">
        <v>1266</v>
      </c>
      <c r="B47">
        <v>1312</v>
      </c>
      <c r="C47">
        <v>1578</v>
      </c>
    </row>
    <row r="48" spans="1:3" x14ac:dyDescent="0.3">
      <c r="A48">
        <v>1219</v>
      </c>
      <c r="B48">
        <v>1265</v>
      </c>
      <c r="C48">
        <v>1563</v>
      </c>
    </row>
    <row r="49" spans="1:3" x14ac:dyDescent="0.3">
      <c r="A49">
        <v>1203</v>
      </c>
      <c r="B49">
        <v>1250</v>
      </c>
      <c r="C49">
        <v>1547</v>
      </c>
    </row>
    <row r="50" spans="1:3" x14ac:dyDescent="0.3">
      <c r="A50">
        <v>1203</v>
      </c>
      <c r="B50">
        <v>1250</v>
      </c>
      <c r="C50">
        <v>1547</v>
      </c>
    </row>
    <row r="51" spans="1:3" x14ac:dyDescent="0.3">
      <c r="A51">
        <v>1125</v>
      </c>
      <c r="B51">
        <v>1234</v>
      </c>
      <c r="C51">
        <v>1547</v>
      </c>
    </row>
    <row r="52" spans="1:3" x14ac:dyDescent="0.3">
      <c r="A52">
        <v>1110</v>
      </c>
      <c r="B52">
        <v>1234</v>
      </c>
      <c r="C52">
        <v>1532</v>
      </c>
    </row>
    <row r="53" spans="1:3" x14ac:dyDescent="0.3">
      <c r="A53">
        <v>1094</v>
      </c>
      <c r="B53">
        <v>1234</v>
      </c>
      <c r="C53">
        <v>1531</v>
      </c>
    </row>
    <row r="54" spans="1:3" x14ac:dyDescent="0.3">
      <c r="A54">
        <v>1078</v>
      </c>
      <c r="B54">
        <v>1188</v>
      </c>
      <c r="C54">
        <v>1453</v>
      </c>
    </row>
    <row r="55" spans="1:3" x14ac:dyDescent="0.3">
      <c r="A55">
        <v>1078</v>
      </c>
      <c r="B55">
        <v>1141</v>
      </c>
      <c r="C55">
        <v>1453</v>
      </c>
    </row>
    <row r="56" spans="1:3" x14ac:dyDescent="0.3">
      <c r="A56">
        <v>1078</v>
      </c>
      <c r="B56">
        <v>1125</v>
      </c>
      <c r="C56">
        <v>1438</v>
      </c>
    </row>
    <row r="57" spans="1:3" x14ac:dyDescent="0.3">
      <c r="A57">
        <v>1000</v>
      </c>
      <c r="B57">
        <v>1110</v>
      </c>
      <c r="C57">
        <v>1421</v>
      </c>
    </row>
    <row r="58" spans="1:3" x14ac:dyDescent="0.3">
      <c r="A58">
        <v>938</v>
      </c>
      <c r="C58">
        <v>1406</v>
      </c>
    </row>
    <row r="59" spans="1:3" x14ac:dyDescent="0.3">
      <c r="C59">
        <v>1375</v>
      </c>
    </row>
    <row r="60" spans="1:3" x14ac:dyDescent="0.3">
      <c r="C60">
        <v>1359</v>
      </c>
    </row>
    <row r="61" spans="1:3" x14ac:dyDescent="0.3">
      <c r="C61">
        <v>1344</v>
      </c>
    </row>
    <row r="62" spans="1:3" x14ac:dyDescent="0.3">
      <c r="C62">
        <v>1296</v>
      </c>
    </row>
    <row r="63" spans="1:3" x14ac:dyDescent="0.3">
      <c r="C63">
        <v>1296</v>
      </c>
    </row>
    <row r="64" spans="1:3" x14ac:dyDescent="0.3">
      <c r="C64">
        <v>1250</v>
      </c>
    </row>
    <row r="65" spans="3:3" x14ac:dyDescent="0.3">
      <c r="C65">
        <v>1235</v>
      </c>
    </row>
    <row r="66" spans="3:3" x14ac:dyDescent="0.3">
      <c r="C66">
        <v>1125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9BB07-F6B3-4456-BEF8-B44D41096B2E}">
  <dimension ref="A1:M66"/>
  <sheetViews>
    <sheetView tabSelected="1" workbookViewId="0">
      <selection activeCell="G41" sqref="G41"/>
    </sheetView>
  </sheetViews>
  <sheetFormatPr defaultRowHeight="14.4" x14ac:dyDescent="0.3"/>
  <cols>
    <col min="7" max="7" width="39.77734375" customWidth="1"/>
    <col min="11" max="11" width="38.88671875" customWidth="1"/>
  </cols>
  <sheetData>
    <row r="1" spans="1:13" x14ac:dyDescent="0.3">
      <c r="A1" t="s">
        <v>0</v>
      </c>
      <c r="B1" t="s">
        <v>1</v>
      </c>
      <c r="C1" t="s">
        <v>2</v>
      </c>
    </row>
    <row r="2" spans="1:13" x14ac:dyDescent="0.3">
      <c r="A2">
        <v>2500</v>
      </c>
      <c r="B2" s="2">
        <v>2594</v>
      </c>
      <c r="C2" s="2">
        <v>8391</v>
      </c>
    </row>
    <row r="3" spans="1:13" x14ac:dyDescent="0.3">
      <c r="A3">
        <v>2281</v>
      </c>
      <c r="B3" s="2">
        <v>2516</v>
      </c>
      <c r="C3">
        <v>6828</v>
      </c>
    </row>
    <row r="4" spans="1:13" x14ac:dyDescent="0.3">
      <c r="A4">
        <v>1938</v>
      </c>
      <c r="B4">
        <v>2437</v>
      </c>
      <c r="C4">
        <v>6625</v>
      </c>
    </row>
    <row r="5" spans="1:13" x14ac:dyDescent="0.3">
      <c r="A5">
        <v>1891</v>
      </c>
      <c r="B5">
        <v>2109</v>
      </c>
      <c r="C5">
        <v>6234</v>
      </c>
    </row>
    <row r="6" spans="1:13" x14ac:dyDescent="0.3">
      <c r="A6">
        <v>1875</v>
      </c>
      <c r="B6">
        <v>2094</v>
      </c>
      <c r="C6">
        <v>5953</v>
      </c>
      <c r="G6" s="11" t="s">
        <v>38</v>
      </c>
      <c r="K6" s="11" t="s">
        <v>39</v>
      </c>
    </row>
    <row r="7" spans="1:13" ht="15" thickBot="1" x14ac:dyDescent="0.35">
      <c r="A7">
        <v>1875</v>
      </c>
      <c r="B7">
        <v>2093</v>
      </c>
      <c r="C7">
        <v>4937</v>
      </c>
    </row>
    <row r="8" spans="1:13" x14ac:dyDescent="0.3">
      <c r="A8">
        <v>1859</v>
      </c>
      <c r="B8">
        <v>1890</v>
      </c>
      <c r="C8">
        <v>4922</v>
      </c>
      <c r="G8" s="8"/>
      <c r="H8" s="8" t="s">
        <v>1</v>
      </c>
      <c r="I8" s="8" t="s">
        <v>2</v>
      </c>
      <c r="K8" s="8"/>
      <c r="L8" s="8" t="s">
        <v>0</v>
      </c>
      <c r="M8" s="8" t="s">
        <v>2</v>
      </c>
    </row>
    <row r="9" spans="1:13" x14ac:dyDescent="0.3">
      <c r="A9">
        <v>1812</v>
      </c>
      <c r="B9">
        <v>1844</v>
      </c>
      <c r="C9">
        <v>4172</v>
      </c>
      <c r="G9" s="6" t="s">
        <v>28</v>
      </c>
      <c r="H9" s="6">
        <v>1564.6964285714287</v>
      </c>
      <c r="I9" s="6">
        <v>2687.1692307692306</v>
      </c>
      <c r="K9" s="6" t="s">
        <v>28</v>
      </c>
      <c r="L9" s="6">
        <v>1469.5964912280701</v>
      </c>
      <c r="M9" s="6">
        <v>2687.1692307692306</v>
      </c>
    </row>
    <row r="10" spans="1:13" x14ac:dyDescent="0.3">
      <c r="A10">
        <v>1797</v>
      </c>
      <c r="B10">
        <v>1796</v>
      </c>
      <c r="C10">
        <v>3938</v>
      </c>
      <c r="G10" s="6" t="s">
        <v>15</v>
      </c>
      <c r="H10" s="6">
        <v>108680.21525974003</v>
      </c>
      <c r="I10" s="6">
        <v>2488322.2677884614</v>
      </c>
      <c r="K10" s="6" t="s">
        <v>15</v>
      </c>
      <c r="L10" s="6">
        <v>90055.780701754353</v>
      </c>
      <c r="M10" s="6">
        <v>2488322.2677884614</v>
      </c>
    </row>
    <row r="11" spans="1:13" x14ac:dyDescent="0.3">
      <c r="A11">
        <v>1766</v>
      </c>
      <c r="B11">
        <v>1781</v>
      </c>
      <c r="C11">
        <v>3906</v>
      </c>
      <c r="G11" s="6" t="s">
        <v>29</v>
      </c>
      <c r="H11" s="6">
        <v>56</v>
      </c>
      <c r="I11" s="6">
        <v>65</v>
      </c>
      <c r="K11" s="6" t="s">
        <v>29</v>
      </c>
      <c r="L11" s="6">
        <v>57</v>
      </c>
      <c r="M11" s="6">
        <v>65</v>
      </c>
    </row>
    <row r="12" spans="1:13" x14ac:dyDescent="0.3">
      <c r="A12">
        <v>1734</v>
      </c>
      <c r="B12">
        <v>1766</v>
      </c>
      <c r="C12">
        <v>3875</v>
      </c>
      <c r="G12" s="6" t="s">
        <v>30</v>
      </c>
      <c r="H12" s="6">
        <v>1388487.7056953548</v>
      </c>
      <c r="I12" s="6"/>
      <c r="K12" s="6" t="s">
        <v>30</v>
      </c>
      <c r="L12" s="6">
        <v>1369131.2404813315</v>
      </c>
      <c r="M12" s="6"/>
    </row>
    <row r="13" spans="1:13" x14ac:dyDescent="0.3">
      <c r="A13">
        <v>1719</v>
      </c>
      <c r="B13">
        <v>1765</v>
      </c>
      <c r="C13">
        <v>3859</v>
      </c>
      <c r="G13" s="6" t="s">
        <v>31</v>
      </c>
      <c r="H13" s="6">
        <v>0</v>
      </c>
      <c r="I13" s="6"/>
      <c r="K13" s="6" t="s">
        <v>31</v>
      </c>
      <c r="L13" s="6">
        <v>0</v>
      </c>
      <c r="M13" s="6"/>
    </row>
    <row r="14" spans="1:13" x14ac:dyDescent="0.3">
      <c r="A14">
        <v>1687</v>
      </c>
      <c r="B14">
        <v>1750</v>
      </c>
      <c r="C14">
        <v>3797</v>
      </c>
      <c r="G14" s="6" t="s">
        <v>19</v>
      </c>
      <c r="H14" s="6">
        <v>119</v>
      </c>
      <c r="I14" s="6"/>
      <c r="K14" s="6" t="s">
        <v>19</v>
      </c>
      <c r="L14" s="6">
        <v>120</v>
      </c>
      <c r="M14" s="6"/>
    </row>
    <row r="15" spans="1:13" x14ac:dyDescent="0.3">
      <c r="A15">
        <v>1609</v>
      </c>
      <c r="B15">
        <v>1735</v>
      </c>
      <c r="C15">
        <v>3782</v>
      </c>
      <c r="G15" s="6" t="s">
        <v>32</v>
      </c>
      <c r="H15" s="6">
        <v>-5.2247175110389898</v>
      </c>
      <c r="I15" s="6"/>
      <c r="K15" s="6" t="s">
        <v>32</v>
      </c>
      <c r="L15" s="6">
        <v>-5.7343812915723458</v>
      </c>
      <c r="M15" s="6"/>
    </row>
    <row r="16" spans="1:13" x14ac:dyDescent="0.3">
      <c r="A16">
        <v>1594</v>
      </c>
      <c r="B16">
        <v>1719</v>
      </c>
      <c r="C16">
        <v>3735</v>
      </c>
      <c r="G16" s="9" t="s">
        <v>33</v>
      </c>
      <c r="H16" s="9">
        <v>3.7647909626269567E-7</v>
      </c>
      <c r="I16" s="6"/>
      <c r="K16" s="9" t="s">
        <v>33</v>
      </c>
      <c r="L16" s="9">
        <v>3.7261240862838703E-8</v>
      </c>
      <c r="M16" s="6"/>
    </row>
    <row r="17" spans="1:13" x14ac:dyDescent="0.3">
      <c r="A17">
        <v>1594</v>
      </c>
      <c r="B17">
        <v>1719</v>
      </c>
      <c r="C17">
        <v>3656</v>
      </c>
      <c r="G17" s="6" t="s">
        <v>34</v>
      </c>
      <c r="H17" s="6">
        <v>1.6577592849428349</v>
      </c>
      <c r="I17" s="6"/>
      <c r="K17" s="6" t="s">
        <v>34</v>
      </c>
      <c r="L17" s="6">
        <v>1.6576508993552355</v>
      </c>
      <c r="M17" s="6"/>
    </row>
    <row r="18" spans="1:13" x14ac:dyDescent="0.3">
      <c r="A18">
        <v>1578</v>
      </c>
      <c r="B18">
        <v>1672</v>
      </c>
      <c r="C18">
        <v>3640</v>
      </c>
      <c r="G18" s="6" t="s">
        <v>35</v>
      </c>
      <c r="H18" s="6">
        <v>7.5295819252539134E-7</v>
      </c>
      <c r="I18" s="6"/>
      <c r="K18" s="6" t="s">
        <v>35</v>
      </c>
      <c r="L18" s="6">
        <v>7.4522481725677407E-8</v>
      </c>
      <c r="M18" s="6"/>
    </row>
    <row r="19" spans="1:13" ht="15" thickBot="1" x14ac:dyDescent="0.35">
      <c r="A19">
        <v>1547</v>
      </c>
      <c r="B19">
        <v>1656</v>
      </c>
      <c r="C19">
        <v>3594</v>
      </c>
      <c r="G19" s="7" t="s">
        <v>36</v>
      </c>
      <c r="H19" s="7">
        <v>1.9800998764569426</v>
      </c>
      <c r="I19" s="7"/>
      <c r="K19" s="7" t="s">
        <v>36</v>
      </c>
      <c r="L19" s="7">
        <v>1.9799304050824413</v>
      </c>
      <c r="M19" s="7"/>
    </row>
    <row r="20" spans="1:13" x14ac:dyDescent="0.3">
      <c r="A20">
        <v>1516</v>
      </c>
      <c r="B20">
        <v>1625</v>
      </c>
      <c r="C20">
        <v>3421</v>
      </c>
    </row>
    <row r="21" spans="1:13" x14ac:dyDescent="0.3">
      <c r="A21">
        <v>1500</v>
      </c>
      <c r="B21">
        <v>1610</v>
      </c>
      <c r="C21">
        <v>3406</v>
      </c>
    </row>
    <row r="22" spans="1:13" x14ac:dyDescent="0.3">
      <c r="A22">
        <v>1500</v>
      </c>
      <c r="B22">
        <v>1609</v>
      </c>
      <c r="C22">
        <v>3391</v>
      </c>
      <c r="G22" s="11" t="s">
        <v>40</v>
      </c>
    </row>
    <row r="23" spans="1:13" ht="15" thickBot="1" x14ac:dyDescent="0.35">
      <c r="A23">
        <v>1500</v>
      </c>
      <c r="B23">
        <v>1563</v>
      </c>
      <c r="C23">
        <v>3265</v>
      </c>
    </row>
    <row r="24" spans="1:13" x14ac:dyDescent="0.3">
      <c r="A24">
        <v>1500</v>
      </c>
      <c r="B24">
        <v>1516</v>
      </c>
      <c r="C24">
        <v>2844</v>
      </c>
      <c r="G24" s="8"/>
      <c r="H24" s="8" t="s">
        <v>0</v>
      </c>
      <c r="I24" s="8" t="s">
        <v>1</v>
      </c>
    </row>
    <row r="25" spans="1:13" x14ac:dyDescent="0.3">
      <c r="A25">
        <v>1468</v>
      </c>
      <c r="B25">
        <v>1516</v>
      </c>
      <c r="C25">
        <v>2640</v>
      </c>
      <c r="G25" s="6" t="s">
        <v>28</v>
      </c>
      <c r="H25" s="6">
        <v>1469.5964912280701</v>
      </c>
      <c r="I25" s="6">
        <v>1564.6964285714287</v>
      </c>
    </row>
    <row r="26" spans="1:13" x14ac:dyDescent="0.3">
      <c r="A26">
        <v>1453</v>
      </c>
      <c r="B26">
        <v>1516</v>
      </c>
      <c r="C26">
        <v>2578</v>
      </c>
      <c r="G26" s="6" t="s">
        <v>15</v>
      </c>
      <c r="H26" s="6">
        <v>90055.780701754353</v>
      </c>
      <c r="I26" s="6">
        <v>108680.21525974003</v>
      </c>
    </row>
    <row r="27" spans="1:13" x14ac:dyDescent="0.3">
      <c r="A27">
        <v>1453</v>
      </c>
      <c r="B27">
        <v>1515</v>
      </c>
      <c r="C27">
        <v>2468</v>
      </c>
      <c r="G27" s="6" t="s">
        <v>29</v>
      </c>
      <c r="H27" s="6">
        <v>57</v>
      </c>
      <c r="I27" s="6">
        <v>56</v>
      </c>
    </row>
    <row r="28" spans="1:13" x14ac:dyDescent="0.3">
      <c r="A28">
        <v>1453</v>
      </c>
      <c r="B28">
        <v>1500</v>
      </c>
      <c r="C28">
        <v>2172</v>
      </c>
      <c r="G28" s="6" t="s">
        <v>30</v>
      </c>
      <c r="H28" s="6">
        <v>99284.104131386892</v>
      </c>
      <c r="I28" s="6"/>
    </row>
    <row r="29" spans="1:13" x14ac:dyDescent="0.3">
      <c r="A29">
        <v>1422</v>
      </c>
      <c r="B29">
        <v>1500</v>
      </c>
      <c r="C29">
        <v>2156</v>
      </c>
      <c r="G29" s="6" t="s">
        <v>31</v>
      </c>
      <c r="H29" s="6">
        <v>0</v>
      </c>
      <c r="I29" s="6"/>
    </row>
    <row r="30" spans="1:13" x14ac:dyDescent="0.3">
      <c r="A30">
        <v>1422</v>
      </c>
      <c r="B30">
        <v>1484</v>
      </c>
      <c r="C30">
        <v>2140</v>
      </c>
      <c r="G30" s="6" t="s">
        <v>19</v>
      </c>
      <c r="H30" s="6">
        <v>111</v>
      </c>
      <c r="I30" s="6"/>
    </row>
    <row r="31" spans="1:13" x14ac:dyDescent="0.3">
      <c r="A31">
        <v>1406</v>
      </c>
      <c r="B31">
        <v>1484</v>
      </c>
      <c r="C31">
        <v>2140</v>
      </c>
      <c r="G31" s="6" t="s">
        <v>32</v>
      </c>
      <c r="H31" s="6">
        <v>-1.6041042508704424</v>
      </c>
      <c r="I31" s="6"/>
    </row>
    <row r="32" spans="1:13" x14ac:dyDescent="0.3">
      <c r="A32">
        <v>1391</v>
      </c>
      <c r="B32">
        <v>1468</v>
      </c>
      <c r="C32">
        <v>2125</v>
      </c>
      <c r="G32" s="10" t="s">
        <v>33</v>
      </c>
      <c r="H32" s="10">
        <v>5.5766360909559463E-2</v>
      </c>
      <c r="I32" s="6"/>
    </row>
    <row r="33" spans="1:9" x14ac:dyDescent="0.3">
      <c r="A33">
        <v>1391</v>
      </c>
      <c r="B33">
        <v>1454</v>
      </c>
      <c r="C33">
        <v>2093</v>
      </c>
      <c r="G33" s="6" t="s">
        <v>34</v>
      </c>
      <c r="H33" s="6">
        <v>1.6586972654215832</v>
      </c>
      <c r="I33" s="6"/>
    </row>
    <row r="34" spans="1:9" x14ac:dyDescent="0.3">
      <c r="A34">
        <v>1390</v>
      </c>
      <c r="B34">
        <v>1437</v>
      </c>
      <c r="C34">
        <v>2078</v>
      </c>
      <c r="G34" s="6" t="s">
        <v>35</v>
      </c>
      <c r="H34" s="6">
        <v>0.11153272181911893</v>
      </c>
      <c r="I34" s="6"/>
    </row>
    <row r="35" spans="1:9" ht="15" thickBot="1" x14ac:dyDescent="0.35">
      <c r="A35">
        <v>1375</v>
      </c>
      <c r="B35">
        <v>1422</v>
      </c>
      <c r="C35">
        <v>2078</v>
      </c>
      <c r="G35" s="7" t="s">
        <v>36</v>
      </c>
      <c r="H35" s="7">
        <v>1.9815667570749009</v>
      </c>
      <c r="I35" s="7"/>
    </row>
    <row r="36" spans="1:9" x14ac:dyDescent="0.3">
      <c r="A36">
        <v>1375</v>
      </c>
      <c r="B36">
        <v>1407</v>
      </c>
      <c r="C36">
        <v>1922</v>
      </c>
    </row>
    <row r="37" spans="1:9" x14ac:dyDescent="0.3">
      <c r="A37">
        <v>1375</v>
      </c>
      <c r="B37">
        <v>1406</v>
      </c>
      <c r="C37">
        <v>1921</v>
      </c>
    </row>
    <row r="38" spans="1:9" x14ac:dyDescent="0.3">
      <c r="A38">
        <v>1359</v>
      </c>
      <c r="B38">
        <v>1391</v>
      </c>
      <c r="C38">
        <v>1891</v>
      </c>
    </row>
    <row r="39" spans="1:9" x14ac:dyDescent="0.3">
      <c r="A39">
        <v>1359</v>
      </c>
      <c r="B39">
        <v>1390</v>
      </c>
      <c r="C39">
        <v>1875</v>
      </c>
    </row>
    <row r="40" spans="1:9" x14ac:dyDescent="0.3">
      <c r="A40">
        <v>1344</v>
      </c>
      <c r="B40">
        <v>1375</v>
      </c>
      <c r="C40">
        <v>1859</v>
      </c>
      <c r="G40" s="11" t="s">
        <v>37</v>
      </c>
    </row>
    <row r="41" spans="1:9" x14ac:dyDescent="0.3">
      <c r="A41">
        <v>1329</v>
      </c>
      <c r="B41">
        <v>1375</v>
      </c>
      <c r="C41">
        <v>1829</v>
      </c>
      <c r="G41" t="s">
        <v>41</v>
      </c>
    </row>
    <row r="42" spans="1:9" x14ac:dyDescent="0.3">
      <c r="A42">
        <v>1313</v>
      </c>
      <c r="B42">
        <v>1375</v>
      </c>
      <c r="C42">
        <v>1719</v>
      </c>
    </row>
    <row r="43" spans="1:9" x14ac:dyDescent="0.3">
      <c r="A43">
        <v>1282</v>
      </c>
      <c r="B43">
        <v>1375</v>
      </c>
      <c r="C43">
        <v>1641</v>
      </c>
    </row>
    <row r="44" spans="1:9" x14ac:dyDescent="0.3">
      <c r="A44">
        <v>1281</v>
      </c>
      <c r="B44">
        <v>1375</v>
      </c>
      <c r="C44">
        <v>1640</v>
      </c>
    </row>
    <row r="45" spans="1:9" x14ac:dyDescent="0.3">
      <c r="A45">
        <v>1281</v>
      </c>
      <c r="B45">
        <v>1328</v>
      </c>
      <c r="C45">
        <v>1625</v>
      </c>
    </row>
    <row r="46" spans="1:9" x14ac:dyDescent="0.3">
      <c r="A46">
        <v>1281</v>
      </c>
      <c r="B46">
        <v>1328</v>
      </c>
      <c r="C46">
        <v>1609</v>
      </c>
    </row>
    <row r="47" spans="1:9" x14ac:dyDescent="0.3">
      <c r="A47">
        <v>1266</v>
      </c>
      <c r="B47">
        <v>1312</v>
      </c>
      <c r="C47">
        <v>1578</v>
      </c>
    </row>
    <row r="48" spans="1:9" x14ac:dyDescent="0.3">
      <c r="A48">
        <v>1219</v>
      </c>
      <c r="B48">
        <v>1265</v>
      </c>
      <c r="C48">
        <v>1563</v>
      </c>
    </row>
    <row r="49" spans="1:3" x14ac:dyDescent="0.3">
      <c r="A49">
        <v>1203</v>
      </c>
      <c r="B49">
        <v>1250</v>
      </c>
      <c r="C49">
        <v>1547</v>
      </c>
    </row>
    <row r="50" spans="1:3" x14ac:dyDescent="0.3">
      <c r="A50">
        <v>1203</v>
      </c>
      <c r="B50">
        <v>1250</v>
      </c>
      <c r="C50">
        <v>1547</v>
      </c>
    </row>
    <row r="51" spans="1:3" x14ac:dyDescent="0.3">
      <c r="A51">
        <v>1125</v>
      </c>
      <c r="B51">
        <v>1234</v>
      </c>
      <c r="C51">
        <v>1547</v>
      </c>
    </row>
    <row r="52" spans="1:3" x14ac:dyDescent="0.3">
      <c r="A52">
        <v>1110</v>
      </c>
      <c r="B52">
        <v>1234</v>
      </c>
      <c r="C52">
        <v>1532</v>
      </c>
    </row>
    <row r="53" spans="1:3" x14ac:dyDescent="0.3">
      <c r="A53">
        <v>1094</v>
      </c>
      <c r="B53">
        <v>1234</v>
      </c>
      <c r="C53">
        <v>1531</v>
      </c>
    </row>
    <row r="54" spans="1:3" x14ac:dyDescent="0.3">
      <c r="A54">
        <v>1078</v>
      </c>
      <c r="B54">
        <v>1188</v>
      </c>
      <c r="C54">
        <v>1453</v>
      </c>
    </row>
    <row r="55" spans="1:3" x14ac:dyDescent="0.3">
      <c r="A55">
        <v>1078</v>
      </c>
      <c r="B55">
        <v>1141</v>
      </c>
      <c r="C55">
        <v>1453</v>
      </c>
    </row>
    <row r="56" spans="1:3" x14ac:dyDescent="0.3">
      <c r="A56">
        <v>1078</v>
      </c>
      <c r="B56">
        <v>1125</v>
      </c>
      <c r="C56">
        <v>1438</v>
      </c>
    </row>
    <row r="57" spans="1:3" x14ac:dyDescent="0.3">
      <c r="A57">
        <v>1000</v>
      </c>
      <c r="B57">
        <v>1110</v>
      </c>
      <c r="C57">
        <v>1421</v>
      </c>
    </row>
    <row r="58" spans="1:3" x14ac:dyDescent="0.3">
      <c r="A58">
        <v>938</v>
      </c>
      <c r="C58">
        <v>1406</v>
      </c>
    </row>
    <row r="59" spans="1:3" x14ac:dyDescent="0.3">
      <c r="C59">
        <v>1375</v>
      </c>
    </row>
    <row r="60" spans="1:3" x14ac:dyDescent="0.3">
      <c r="C60">
        <v>1359</v>
      </c>
    </row>
    <row r="61" spans="1:3" x14ac:dyDescent="0.3">
      <c r="C61">
        <v>1344</v>
      </c>
    </row>
    <row r="62" spans="1:3" x14ac:dyDescent="0.3">
      <c r="C62">
        <v>1296</v>
      </c>
    </row>
    <row r="63" spans="1:3" x14ac:dyDescent="0.3">
      <c r="C63">
        <v>1296</v>
      </c>
    </row>
    <row r="64" spans="1:3" x14ac:dyDescent="0.3">
      <c r="C64">
        <v>1250</v>
      </c>
    </row>
    <row r="65" spans="3:3" x14ac:dyDescent="0.3">
      <c r="C65">
        <v>1235</v>
      </c>
    </row>
    <row r="66" spans="3:3" x14ac:dyDescent="0.3">
      <c r="C66">
        <v>1125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original_dataset</vt:lpstr>
      <vt:lpstr>outliers</vt:lpstr>
      <vt:lpstr>mean_analysis</vt:lpstr>
      <vt:lpstr>anova</vt:lpstr>
      <vt:lpstr>t-test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I3D_03</dc:creator>
  <cp:lastModifiedBy>Nirmalya Mandal</cp:lastModifiedBy>
  <dcterms:created xsi:type="dcterms:W3CDTF">2018-10-03T06:38:31Z</dcterms:created>
  <dcterms:modified xsi:type="dcterms:W3CDTF">2026-06-01T20:24:37Z</dcterms:modified>
</cp:coreProperties>
</file>